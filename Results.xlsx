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filterPrivacy="1" defaultThemeVersion="124226"/>
  <bookViews>
    <workbookView xWindow="240" yWindow="108" windowWidth="14808" windowHeight="8016" tabRatio="691" activeTab="5"/>
  </bookViews>
  <sheets>
    <sheet name="Tools" sheetId="3" r:id="rId1"/>
    <sheet name="Data" sheetId="5" r:id="rId2"/>
    <sheet name="MPEG CE2 variant calling" sheetId="2" r:id="rId3"/>
    <sheet name="GATK hard filters" sheetId="6" r:id="rId4"/>
    <sheet name="Platypus" sheetId="8" r:id="rId5"/>
    <sheet name="Performance measurements" sheetId="7" r:id="rId6"/>
  </sheets>
  <calcPr calcId="171027"/>
</workbook>
</file>

<file path=xl/calcChain.xml><?xml version="1.0" encoding="utf-8"?>
<calcChain xmlns="http://schemas.openxmlformats.org/spreadsheetml/2006/main">
  <c r="AK41" i="2" l="1"/>
  <c r="AJ41" i="2"/>
  <c r="AK11" i="2"/>
  <c r="AJ11" i="2"/>
  <c r="Q41" i="2"/>
  <c r="P41" i="2"/>
  <c r="Q26" i="2"/>
  <c r="P26" i="2"/>
  <c r="Q11" i="2"/>
  <c r="P11" i="2"/>
  <c r="S11" i="2"/>
  <c r="O36" i="8" l="1"/>
  <c r="P36" i="8"/>
  <c r="Q36" i="8"/>
  <c r="O37" i="8"/>
  <c r="P37" i="8"/>
  <c r="Q37" i="8"/>
  <c r="O38" i="8"/>
  <c r="P38" i="8"/>
  <c r="Q38" i="8"/>
  <c r="O39" i="8"/>
  <c r="P39" i="8"/>
  <c r="Q39" i="8"/>
  <c r="O40" i="8"/>
  <c r="P40" i="8"/>
  <c r="Q40" i="8"/>
  <c r="O41" i="8"/>
  <c r="P41" i="8"/>
  <c r="O42" i="8"/>
  <c r="P42" i="8"/>
  <c r="Q42" i="8"/>
  <c r="O43" i="8"/>
  <c r="P43" i="8"/>
  <c r="Q43" i="8"/>
  <c r="O44" i="8"/>
  <c r="P44" i="8"/>
  <c r="Q44" i="8"/>
  <c r="P35" i="8"/>
  <c r="Q35" i="8"/>
  <c r="G36" i="8"/>
  <c r="H36" i="8"/>
  <c r="I36" i="8"/>
  <c r="G37" i="8"/>
  <c r="H37" i="8"/>
  <c r="I37" i="8"/>
  <c r="G38" i="8"/>
  <c r="H38" i="8"/>
  <c r="I38" i="8"/>
  <c r="G39" i="8"/>
  <c r="H39" i="8"/>
  <c r="I39" i="8"/>
  <c r="G40" i="8"/>
  <c r="H40" i="8"/>
  <c r="I40" i="8"/>
  <c r="G41" i="8"/>
  <c r="H41" i="8"/>
  <c r="G42" i="8"/>
  <c r="H42" i="8"/>
  <c r="I42" i="8"/>
  <c r="G43" i="8"/>
  <c r="H43" i="8"/>
  <c r="I43" i="8"/>
  <c r="G44" i="8"/>
  <c r="H44" i="8"/>
  <c r="I44" i="8"/>
  <c r="H35" i="8"/>
  <c r="I35" i="8"/>
  <c r="O35" i="8"/>
  <c r="G35" i="8"/>
  <c r="O21" i="8"/>
  <c r="P21" i="8"/>
  <c r="Q21" i="8"/>
  <c r="O22" i="8"/>
  <c r="P22" i="8"/>
  <c r="Q22" i="8"/>
  <c r="O23" i="8"/>
  <c r="P23" i="8"/>
  <c r="Q23" i="8"/>
  <c r="O24" i="8"/>
  <c r="P24" i="8"/>
  <c r="Q24" i="8"/>
  <c r="O25" i="8"/>
  <c r="P25" i="8"/>
  <c r="Q25" i="8"/>
  <c r="O26" i="8"/>
  <c r="P26" i="8"/>
  <c r="O27" i="8"/>
  <c r="P27" i="8"/>
  <c r="Q27" i="8"/>
  <c r="O28" i="8"/>
  <c r="P28" i="8"/>
  <c r="Q28" i="8"/>
  <c r="O29" i="8"/>
  <c r="P29" i="8"/>
  <c r="Q29" i="8"/>
  <c r="Q20" i="8"/>
  <c r="P20" i="8"/>
  <c r="O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G27" i="8"/>
  <c r="H27" i="8"/>
  <c r="I27" i="8"/>
  <c r="G28" i="8"/>
  <c r="H28" i="8"/>
  <c r="I28" i="8"/>
  <c r="G29" i="8"/>
  <c r="H29" i="8"/>
  <c r="I29" i="8"/>
  <c r="H20" i="8"/>
  <c r="I20" i="8"/>
  <c r="G20" i="8"/>
  <c r="O6" i="8"/>
  <c r="P6" i="8"/>
  <c r="Q6" i="8"/>
  <c r="O7" i="8"/>
  <c r="P7" i="8"/>
  <c r="Q7" i="8"/>
  <c r="O8" i="8"/>
  <c r="P8" i="8"/>
  <c r="Q8" i="8"/>
  <c r="O9" i="8"/>
  <c r="P9" i="8"/>
  <c r="Q9" i="8"/>
  <c r="O10" i="8"/>
  <c r="P10" i="8"/>
  <c r="Q10" i="8"/>
  <c r="O11" i="8"/>
  <c r="P11" i="8"/>
  <c r="O12" i="8"/>
  <c r="P12" i="8"/>
  <c r="Q12" i="8"/>
  <c r="O13" i="8"/>
  <c r="P13" i="8"/>
  <c r="Q13" i="8"/>
  <c r="O14" i="8"/>
  <c r="P14" i="8"/>
  <c r="Q14" i="8"/>
  <c r="P5" i="8"/>
  <c r="Q5" i="8"/>
  <c r="O5" i="8"/>
  <c r="G6" i="8"/>
  <c r="H6" i="8"/>
  <c r="I6" i="8"/>
  <c r="G7" i="8"/>
  <c r="H7" i="8"/>
  <c r="I7" i="8"/>
  <c r="G8" i="8"/>
  <c r="H8" i="8"/>
  <c r="I8" i="8"/>
  <c r="G9" i="8"/>
  <c r="H9" i="8"/>
  <c r="I9" i="8"/>
  <c r="G10" i="8"/>
  <c r="H10" i="8"/>
  <c r="I10" i="8"/>
  <c r="G11" i="8"/>
  <c r="H11" i="8"/>
  <c r="G12" i="8"/>
  <c r="H12" i="8"/>
  <c r="I12" i="8"/>
  <c r="G13" i="8"/>
  <c r="H13" i="8"/>
  <c r="I13" i="8"/>
  <c r="G14" i="8"/>
  <c r="H14" i="8"/>
  <c r="I14" i="8"/>
  <c r="I5" i="8"/>
  <c r="H5" i="8"/>
  <c r="G5" i="8"/>
  <c r="Q40" i="6"/>
  <c r="O36" i="6"/>
  <c r="P36" i="6"/>
  <c r="Q36" i="6"/>
  <c r="O37" i="6"/>
  <c r="P37" i="6"/>
  <c r="Q37" i="6"/>
  <c r="O38" i="6"/>
  <c r="P38" i="6"/>
  <c r="Q38" i="6"/>
  <c r="O39" i="6"/>
  <c r="P39" i="6"/>
  <c r="Q39" i="6"/>
  <c r="O40" i="6"/>
  <c r="P40" i="6"/>
  <c r="O41" i="6"/>
  <c r="P41" i="6"/>
  <c r="O42" i="6"/>
  <c r="P42" i="6"/>
  <c r="Q42" i="6"/>
  <c r="O43" i="6"/>
  <c r="P43" i="6"/>
  <c r="Q43" i="6"/>
  <c r="O44" i="6"/>
  <c r="P44" i="6"/>
  <c r="Q44" i="6"/>
  <c r="P35" i="6"/>
  <c r="Q35" i="6"/>
  <c r="O35" i="6"/>
  <c r="G36" i="6"/>
  <c r="H36" i="6"/>
  <c r="I36" i="6"/>
  <c r="G37" i="6"/>
  <c r="H37" i="6"/>
  <c r="I37" i="6"/>
  <c r="G38" i="6"/>
  <c r="H38" i="6"/>
  <c r="I38" i="6"/>
  <c r="G39" i="6"/>
  <c r="H39" i="6"/>
  <c r="I39" i="6"/>
  <c r="G40" i="6"/>
  <c r="H40" i="6"/>
  <c r="I40" i="6"/>
  <c r="G41" i="6"/>
  <c r="H41" i="6"/>
  <c r="G42" i="6"/>
  <c r="H42" i="6"/>
  <c r="I42" i="6"/>
  <c r="G43" i="6"/>
  <c r="H43" i="6"/>
  <c r="I43" i="6"/>
  <c r="G44" i="6"/>
  <c r="H44" i="6"/>
  <c r="I44" i="6"/>
  <c r="H35" i="6"/>
  <c r="I35" i="6"/>
  <c r="G35" i="6"/>
  <c r="Q25" i="6"/>
  <c r="Q20" i="6"/>
  <c r="O21" i="6"/>
  <c r="P21" i="6"/>
  <c r="Q21" i="6"/>
  <c r="O22" i="6"/>
  <c r="P22" i="6"/>
  <c r="Q22" i="6"/>
  <c r="O23" i="6"/>
  <c r="P23" i="6"/>
  <c r="Q23" i="6"/>
  <c r="O24" i="6"/>
  <c r="P24" i="6"/>
  <c r="Q24" i="6"/>
  <c r="O25" i="6"/>
  <c r="P25" i="6"/>
  <c r="O26" i="6"/>
  <c r="P26" i="6"/>
  <c r="O27" i="6"/>
  <c r="P27" i="6"/>
  <c r="Q27" i="6"/>
  <c r="O28" i="6"/>
  <c r="P28" i="6"/>
  <c r="Q28" i="6"/>
  <c r="O29" i="6"/>
  <c r="P29" i="6"/>
  <c r="Q29" i="6"/>
  <c r="P20" i="6"/>
  <c r="O20" i="6"/>
  <c r="G21" i="6"/>
  <c r="H21" i="6"/>
  <c r="I21" i="6"/>
  <c r="G22" i="6"/>
  <c r="H22" i="6"/>
  <c r="I22" i="6"/>
  <c r="G23" i="6"/>
  <c r="H23" i="6"/>
  <c r="I23" i="6"/>
  <c r="G24" i="6"/>
  <c r="H24" i="6"/>
  <c r="I24" i="6"/>
  <c r="G25" i="6"/>
  <c r="H25" i="6"/>
  <c r="I25" i="6"/>
  <c r="G26" i="6"/>
  <c r="H26" i="6"/>
  <c r="G27" i="6"/>
  <c r="H27" i="6"/>
  <c r="I27" i="6"/>
  <c r="G28" i="6"/>
  <c r="H28" i="6"/>
  <c r="I28" i="6"/>
  <c r="G29" i="6"/>
  <c r="H29" i="6"/>
  <c r="I29" i="6"/>
  <c r="H20" i="6"/>
  <c r="I20" i="6"/>
  <c r="G20" i="6"/>
  <c r="O6" i="6"/>
  <c r="P6" i="6"/>
  <c r="Q6" i="6"/>
  <c r="O7" i="6"/>
  <c r="P7" i="6"/>
  <c r="Q7" i="6"/>
  <c r="O8" i="6"/>
  <c r="P8" i="6"/>
  <c r="Q8" i="6"/>
  <c r="O9" i="6"/>
  <c r="P9" i="6"/>
  <c r="Q9" i="6"/>
  <c r="O10" i="6"/>
  <c r="P10" i="6"/>
  <c r="Q10" i="6"/>
  <c r="O11" i="6"/>
  <c r="P11" i="6"/>
  <c r="O12" i="6"/>
  <c r="P12" i="6"/>
  <c r="Q12" i="6"/>
  <c r="O13" i="6"/>
  <c r="P13" i="6"/>
  <c r="Q13" i="6"/>
  <c r="O14" i="6"/>
  <c r="P14" i="6"/>
  <c r="Q14" i="6"/>
  <c r="P5" i="6"/>
  <c r="Q5" i="6"/>
  <c r="O5" i="6"/>
  <c r="H6" i="6"/>
  <c r="I6" i="6"/>
  <c r="H7" i="6"/>
  <c r="I7" i="6"/>
  <c r="H8" i="6"/>
  <c r="I8" i="6"/>
  <c r="H9" i="6"/>
  <c r="I9" i="6"/>
  <c r="H10" i="6"/>
  <c r="I10" i="6"/>
  <c r="H11" i="6"/>
  <c r="H12" i="6"/>
  <c r="I12" i="6"/>
  <c r="H13" i="6"/>
  <c r="I13" i="6"/>
  <c r="H14" i="6"/>
  <c r="I14" i="6"/>
  <c r="I5" i="6"/>
  <c r="H5" i="6"/>
  <c r="G6" i="6"/>
  <c r="G7" i="6"/>
  <c r="G8" i="6"/>
  <c r="G9" i="6"/>
  <c r="G10" i="6"/>
  <c r="G11" i="6"/>
  <c r="G12" i="6"/>
  <c r="G13" i="6"/>
  <c r="G14" i="6"/>
  <c r="G5" i="6"/>
  <c r="AK23" i="2"/>
  <c r="AN23" i="2" s="1"/>
  <c r="I24" i="2"/>
  <c r="I25" i="2"/>
  <c r="AM36" i="2"/>
  <c r="AN36" i="2"/>
  <c r="AO36" i="2"/>
  <c r="AM37" i="2"/>
  <c r="AN37" i="2"/>
  <c r="AO37" i="2"/>
  <c r="AM38" i="2"/>
  <c r="AN38" i="2"/>
  <c r="AO38" i="2"/>
  <c r="AM39" i="2"/>
  <c r="AN39" i="2"/>
  <c r="AO39" i="2"/>
  <c r="AM40" i="2"/>
  <c r="AN40" i="2"/>
  <c r="AO40" i="2"/>
  <c r="AM42" i="2"/>
  <c r="AN42" i="2"/>
  <c r="AO42" i="2"/>
  <c r="AM44" i="2"/>
  <c r="AN44" i="2"/>
  <c r="AO44" i="2"/>
  <c r="AN35" i="2"/>
  <c r="AO35" i="2"/>
  <c r="AM35" i="2"/>
  <c r="AM21" i="2"/>
  <c r="AN21" i="2"/>
  <c r="AO21" i="2"/>
  <c r="AM22" i="2"/>
  <c r="AN22" i="2"/>
  <c r="AO22" i="2"/>
  <c r="AM23" i="2"/>
  <c r="AM24" i="2"/>
  <c r="AN24" i="2"/>
  <c r="AO24" i="2"/>
  <c r="AM25" i="2"/>
  <c r="AN25" i="2"/>
  <c r="AO25" i="2"/>
  <c r="AM26" i="2"/>
  <c r="AM27" i="2"/>
  <c r="AN27" i="2"/>
  <c r="AO27" i="2"/>
  <c r="AM28" i="2"/>
  <c r="AN28" i="2"/>
  <c r="AO28" i="2"/>
  <c r="AM29" i="2"/>
  <c r="AN29" i="2"/>
  <c r="AO29" i="2"/>
  <c r="AN20" i="2"/>
  <c r="AO20" i="2"/>
  <c r="AM20" i="2"/>
  <c r="AO6" i="2"/>
  <c r="AO7" i="2"/>
  <c r="AO8" i="2"/>
  <c r="AO9" i="2"/>
  <c r="AO10" i="2"/>
  <c r="AO12" i="2"/>
  <c r="AO14" i="2"/>
  <c r="AN6" i="2"/>
  <c r="AN7" i="2"/>
  <c r="AN8" i="2"/>
  <c r="AN9" i="2"/>
  <c r="AN10" i="2"/>
  <c r="AN12" i="2"/>
  <c r="AN14" i="2"/>
  <c r="AN5" i="2"/>
  <c r="AO5" i="2"/>
  <c r="AM6" i="2"/>
  <c r="AM7" i="2"/>
  <c r="AM8" i="2"/>
  <c r="AM9" i="2"/>
  <c r="AM10" i="2"/>
  <c r="AM12" i="2"/>
  <c r="AM14" i="2"/>
  <c r="AM5" i="2"/>
  <c r="U36" i="2"/>
  <c r="U37" i="2"/>
  <c r="U38" i="2"/>
  <c r="U39" i="2"/>
  <c r="U40" i="2"/>
  <c r="U42" i="2"/>
  <c r="U43" i="2"/>
  <c r="U44" i="2"/>
  <c r="T36" i="2"/>
  <c r="T37" i="2"/>
  <c r="T38" i="2"/>
  <c r="T39" i="2"/>
  <c r="T40" i="2"/>
  <c r="T42" i="2"/>
  <c r="T43" i="2"/>
  <c r="T44" i="2"/>
  <c r="S36" i="2"/>
  <c r="S37" i="2"/>
  <c r="S38" i="2"/>
  <c r="S39" i="2"/>
  <c r="S40" i="2"/>
  <c r="S42" i="2"/>
  <c r="S43" i="2"/>
  <c r="S44" i="2"/>
  <c r="T35" i="2"/>
  <c r="U35" i="2"/>
  <c r="S35" i="2"/>
  <c r="U21" i="2"/>
  <c r="U22" i="2"/>
  <c r="U23" i="2"/>
  <c r="U27" i="2"/>
  <c r="U28" i="2"/>
  <c r="U29" i="2"/>
  <c r="T21" i="2"/>
  <c r="T28" i="2"/>
  <c r="T20" i="2"/>
  <c r="U20" i="2"/>
  <c r="S21" i="2"/>
  <c r="S22" i="2"/>
  <c r="S23" i="2"/>
  <c r="S24" i="2"/>
  <c r="S25" i="2"/>
  <c r="S27" i="2"/>
  <c r="S28" i="2"/>
  <c r="S29" i="2"/>
  <c r="S20" i="2"/>
  <c r="U6" i="2"/>
  <c r="U7" i="2"/>
  <c r="U8" i="2"/>
  <c r="U9" i="2"/>
  <c r="U10" i="2"/>
  <c r="U12" i="2"/>
  <c r="U13" i="2"/>
  <c r="U14" i="2"/>
  <c r="U5" i="2"/>
  <c r="S6" i="2"/>
  <c r="S7" i="2"/>
  <c r="S8" i="2"/>
  <c r="S9" i="2"/>
  <c r="S10" i="2"/>
  <c r="S12" i="2"/>
  <c r="S13" i="2"/>
  <c r="S14" i="2"/>
  <c r="S5" i="2"/>
  <c r="AL40" i="2"/>
  <c r="AN11" i="2"/>
  <c r="AJ6" i="2"/>
  <c r="AK6" i="2"/>
  <c r="AL6" i="2"/>
  <c r="AJ7" i="2"/>
  <c r="AK7" i="2"/>
  <c r="AL7" i="2"/>
  <c r="AJ8" i="2"/>
  <c r="AK8" i="2"/>
  <c r="AL8" i="2"/>
  <c r="AJ9" i="2"/>
  <c r="AK9" i="2"/>
  <c r="AL9" i="2"/>
  <c r="AJ10" i="2"/>
  <c r="AK10" i="2"/>
  <c r="AL10" i="2"/>
  <c r="AM11" i="2"/>
  <c r="AJ12" i="2"/>
  <c r="AK12" i="2"/>
  <c r="AL12" i="2"/>
  <c r="AJ14" i="2"/>
  <c r="AK14" i="2"/>
  <c r="AL14" i="2"/>
  <c r="AK5" i="2"/>
  <c r="AL5" i="2"/>
  <c r="AJ21" i="2"/>
  <c r="AK21" i="2"/>
  <c r="AL21" i="2"/>
  <c r="AJ22" i="2"/>
  <c r="AK22" i="2"/>
  <c r="AL22" i="2"/>
  <c r="AJ23" i="2"/>
  <c r="AJ24" i="2"/>
  <c r="AK24" i="2"/>
  <c r="AL24" i="2"/>
  <c r="AJ25" i="2"/>
  <c r="AK25" i="2"/>
  <c r="AL25" i="2"/>
  <c r="AJ26" i="2"/>
  <c r="AK26" i="2"/>
  <c r="AN26" i="2" s="1"/>
  <c r="AJ27" i="2"/>
  <c r="AK27" i="2"/>
  <c r="AL27" i="2"/>
  <c r="AJ28" i="2"/>
  <c r="AK28" i="2"/>
  <c r="AL28" i="2"/>
  <c r="AJ29" i="2"/>
  <c r="AK29" i="2"/>
  <c r="AL29" i="2"/>
  <c r="AK20" i="2"/>
  <c r="AL20" i="2"/>
  <c r="AJ36" i="2"/>
  <c r="AK36" i="2"/>
  <c r="AL36" i="2"/>
  <c r="AJ37" i="2"/>
  <c r="AK37" i="2"/>
  <c r="AL37" i="2"/>
  <c r="AJ38" i="2"/>
  <c r="AK38" i="2"/>
  <c r="AL38" i="2"/>
  <c r="AJ39" i="2"/>
  <c r="AK39" i="2"/>
  <c r="AL39" i="2"/>
  <c r="AJ40" i="2"/>
  <c r="AK40" i="2"/>
  <c r="AM41" i="2"/>
  <c r="AN41" i="2"/>
  <c r="AJ42" i="2"/>
  <c r="AK42" i="2"/>
  <c r="AL42" i="2"/>
  <c r="AJ44" i="2"/>
  <c r="AK44" i="2"/>
  <c r="AL44" i="2"/>
  <c r="AK35" i="2"/>
  <c r="AL35" i="2"/>
  <c r="AJ35" i="2"/>
  <c r="AJ20" i="2"/>
  <c r="AJ5" i="2"/>
  <c r="P36" i="2"/>
  <c r="Q36" i="2"/>
  <c r="R36" i="2"/>
  <c r="P37" i="2"/>
  <c r="Q37" i="2"/>
  <c r="R37" i="2"/>
  <c r="P38" i="2"/>
  <c r="Q38" i="2"/>
  <c r="R38" i="2"/>
  <c r="P39" i="2"/>
  <c r="Q39" i="2"/>
  <c r="R39" i="2"/>
  <c r="P40" i="2"/>
  <c r="Q40" i="2"/>
  <c r="R40" i="2"/>
  <c r="S41" i="2"/>
  <c r="T41" i="2"/>
  <c r="P42" i="2"/>
  <c r="Q42" i="2"/>
  <c r="R42" i="2"/>
  <c r="P43" i="2"/>
  <c r="Q43" i="2"/>
  <c r="R43" i="2"/>
  <c r="P44" i="2"/>
  <c r="Q44" i="2"/>
  <c r="R44" i="2"/>
  <c r="Q35" i="2"/>
  <c r="R35" i="2"/>
  <c r="P35" i="2"/>
  <c r="Q28" i="2"/>
  <c r="P21" i="2"/>
  <c r="Q21" i="2"/>
  <c r="R21" i="2"/>
  <c r="P22" i="2"/>
  <c r="Q22" i="2"/>
  <c r="T22" i="2" s="1"/>
  <c r="R22" i="2"/>
  <c r="P23" i="2"/>
  <c r="Q23" i="2"/>
  <c r="T23" i="2" s="1"/>
  <c r="R23" i="2"/>
  <c r="P24" i="2"/>
  <c r="Q24" i="2"/>
  <c r="T24" i="2" s="1"/>
  <c r="P25" i="2"/>
  <c r="Q25" i="2"/>
  <c r="T25" i="2" s="1"/>
  <c r="R25" i="2"/>
  <c r="U25" i="2" s="1"/>
  <c r="S26" i="2"/>
  <c r="T26" i="2"/>
  <c r="P27" i="2"/>
  <c r="Q27" i="2"/>
  <c r="T27" i="2" s="1"/>
  <c r="R27" i="2"/>
  <c r="P28" i="2"/>
  <c r="R28" i="2"/>
  <c r="P29" i="2"/>
  <c r="Q29" i="2"/>
  <c r="T29" i="2" s="1"/>
  <c r="R29" i="2"/>
  <c r="Q20" i="2"/>
  <c r="R20" i="2"/>
  <c r="P20" i="2"/>
  <c r="R6" i="2"/>
  <c r="R7" i="2"/>
  <c r="R8" i="2"/>
  <c r="R9" i="2"/>
  <c r="R10" i="2"/>
  <c r="R12" i="2"/>
  <c r="R13" i="2"/>
  <c r="R14" i="2"/>
  <c r="Q6" i="2"/>
  <c r="Q7" i="2"/>
  <c r="T7" i="2" s="1"/>
  <c r="Q8" i="2"/>
  <c r="Q9" i="2"/>
  <c r="Q10" i="2"/>
  <c r="T11" i="2"/>
  <c r="Q12" i="2"/>
  <c r="Q13" i="2"/>
  <c r="Q14" i="2"/>
  <c r="R5" i="2"/>
  <c r="Q5" i="2"/>
  <c r="T5" i="2" s="1"/>
  <c r="P6" i="2"/>
  <c r="P7" i="2"/>
  <c r="P8" i="2"/>
  <c r="P9" i="2"/>
  <c r="P10" i="2"/>
  <c r="P12" i="2"/>
  <c r="P13" i="2"/>
  <c r="P14" i="2"/>
  <c r="P5" i="2"/>
  <c r="T14" i="2" l="1"/>
  <c r="T10" i="2"/>
  <c r="T6" i="2"/>
  <c r="T12" i="2"/>
  <c r="T8" i="2"/>
  <c r="T13" i="2"/>
  <c r="T9" i="2"/>
  <c r="L24" i="2" l="1"/>
  <c r="R24" i="2" s="1"/>
  <c r="U24" i="2" s="1"/>
  <c r="N29" i="8" l="1"/>
  <c r="J29" i="8"/>
  <c r="K29" i="8" s="1"/>
  <c r="F29" i="8"/>
  <c r="B29" i="8"/>
  <c r="C29" i="8" s="1"/>
  <c r="N28" i="8"/>
  <c r="K28" i="8"/>
  <c r="F28" i="8"/>
  <c r="C28" i="8"/>
  <c r="N27" i="8"/>
  <c r="K27" i="8"/>
  <c r="F27" i="8"/>
  <c r="C27" i="8"/>
  <c r="N26" i="8"/>
  <c r="Q26" i="8" s="1"/>
  <c r="K26" i="8"/>
  <c r="F26" i="8"/>
  <c r="I26" i="8" s="1"/>
  <c r="C26" i="8"/>
  <c r="N25" i="8"/>
  <c r="K25" i="8"/>
  <c r="F25" i="8"/>
  <c r="C25" i="8"/>
  <c r="N24" i="8"/>
  <c r="K24" i="8"/>
  <c r="F24" i="8"/>
  <c r="C24" i="8"/>
  <c r="N23" i="8"/>
  <c r="K23" i="8"/>
  <c r="F23" i="8"/>
  <c r="C23" i="8"/>
  <c r="N22" i="8"/>
  <c r="K22" i="8"/>
  <c r="F22" i="8"/>
  <c r="C22" i="8"/>
  <c r="N21" i="8"/>
  <c r="K21" i="8"/>
  <c r="F21" i="8"/>
  <c r="C21" i="8"/>
  <c r="N20" i="8"/>
  <c r="K20" i="8"/>
  <c r="F20" i="8"/>
  <c r="C20" i="8"/>
  <c r="N14" i="8"/>
  <c r="K14" i="8"/>
  <c r="F14" i="8"/>
  <c r="C14" i="8"/>
  <c r="N13" i="8"/>
  <c r="K13" i="8"/>
  <c r="F13" i="8"/>
  <c r="C13" i="8"/>
  <c r="N12" i="8"/>
  <c r="K12" i="8"/>
  <c r="F12" i="8"/>
  <c r="C12" i="8"/>
  <c r="N11" i="8"/>
  <c r="Q11" i="8" s="1"/>
  <c r="K11" i="8"/>
  <c r="F11" i="8"/>
  <c r="I11" i="8" s="1"/>
  <c r="C11" i="8"/>
  <c r="N10" i="8"/>
  <c r="K10" i="8"/>
  <c r="F10" i="8"/>
  <c r="C10" i="8"/>
  <c r="N9" i="8"/>
  <c r="K9" i="8"/>
  <c r="F9" i="8"/>
  <c r="C9" i="8"/>
  <c r="N8" i="8"/>
  <c r="K8" i="8"/>
  <c r="F8" i="8"/>
  <c r="C8" i="8"/>
  <c r="N7" i="8"/>
  <c r="K7" i="8"/>
  <c r="F7" i="8"/>
  <c r="C7" i="8"/>
  <c r="N6" i="8"/>
  <c r="K6" i="8"/>
  <c r="F6" i="8"/>
  <c r="C6" i="8"/>
  <c r="N5" i="8"/>
  <c r="K5" i="8"/>
  <c r="F5" i="8"/>
  <c r="C5" i="8"/>
  <c r="N44" i="8"/>
  <c r="J44" i="8"/>
  <c r="K44" i="8" s="1"/>
  <c r="F44" i="8"/>
  <c r="B44" i="8"/>
  <c r="C44" i="8" s="1"/>
  <c r="N43" i="8"/>
  <c r="K43" i="8"/>
  <c r="F43" i="8"/>
  <c r="C43" i="8"/>
  <c r="N42" i="8"/>
  <c r="K42" i="8"/>
  <c r="F42" i="8"/>
  <c r="C42" i="8"/>
  <c r="N41" i="8"/>
  <c r="Q41" i="8" s="1"/>
  <c r="K41" i="8"/>
  <c r="F41" i="8"/>
  <c r="I41" i="8" s="1"/>
  <c r="C41" i="8"/>
  <c r="N40" i="8"/>
  <c r="K40" i="8"/>
  <c r="F40" i="8"/>
  <c r="C40" i="8"/>
  <c r="N39" i="8"/>
  <c r="K39" i="8"/>
  <c r="F39" i="8"/>
  <c r="C39" i="8"/>
  <c r="N38" i="8"/>
  <c r="K38" i="8"/>
  <c r="F38" i="8"/>
  <c r="C38" i="8"/>
  <c r="N37" i="8"/>
  <c r="K37" i="8"/>
  <c r="F37" i="8"/>
  <c r="C37" i="8"/>
  <c r="N36" i="8"/>
  <c r="K36" i="8"/>
  <c r="F36" i="8"/>
  <c r="C36" i="8"/>
  <c r="N35" i="8"/>
  <c r="K35" i="8"/>
  <c r="F35" i="8"/>
  <c r="C35" i="8"/>
  <c r="N43" i="6"/>
  <c r="F35" i="6"/>
  <c r="N29" i="6"/>
  <c r="J29" i="6"/>
  <c r="K29" i="6" s="1"/>
  <c r="F29" i="6"/>
  <c r="B29" i="6"/>
  <c r="C29" i="6" s="1"/>
  <c r="N28" i="6"/>
  <c r="K28" i="6"/>
  <c r="F28" i="6"/>
  <c r="C28" i="6"/>
  <c r="N27" i="6"/>
  <c r="K27" i="6"/>
  <c r="F27" i="6"/>
  <c r="C27" i="6"/>
  <c r="N26" i="6"/>
  <c r="Q26" i="6" s="1"/>
  <c r="K26" i="6"/>
  <c r="F26" i="6"/>
  <c r="I26" i="6" s="1"/>
  <c r="C26" i="6"/>
  <c r="N25" i="6"/>
  <c r="K25" i="6"/>
  <c r="F25" i="6"/>
  <c r="C25" i="6"/>
  <c r="N24" i="6"/>
  <c r="K24" i="6"/>
  <c r="F24" i="6"/>
  <c r="C24" i="6"/>
  <c r="N23" i="6"/>
  <c r="K23" i="6"/>
  <c r="F23" i="6"/>
  <c r="C23" i="6"/>
  <c r="N22" i="6"/>
  <c r="K22" i="6"/>
  <c r="F22" i="6"/>
  <c r="C22" i="6"/>
  <c r="N21" i="6"/>
  <c r="K21" i="6"/>
  <c r="F21" i="6"/>
  <c r="C21" i="6"/>
  <c r="N20" i="6"/>
  <c r="K20" i="6"/>
  <c r="F20" i="6"/>
  <c r="C20" i="6"/>
  <c r="N14" i="6"/>
  <c r="K14" i="6"/>
  <c r="F14" i="6"/>
  <c r="C14" i="6"/>
  <c r="N13" i="6"/>
  <c r="K13" i="6"/>
  <c r="F13" i="6"/>
  <c r="C13" i="6"/>
  <c r="N12" i="6"/>
  <c r="K12" i="6"/>
  <c r="F12" i="6"/>
  <c r="C12" i="6"/>
  <c r="N11" i="6"/>
  <c r="Q11" i="6" s="1"/>
  <c r="K11" i="6"/>
  <c r="F11" i="6"/>
  <c r="I11" i="6" s="1"/>
  <c r="C11" i="6"/>
  <c r="N10" i="6"/>
  <c r="K10" i="6"/>
  <c r="F10" i="6"/>
  <c r="C10" i="6"/>
  <c r="N9" i="6"/>
  <c r="K9" i="6"/>
  <c r="F9" i="6"/>
  <c r="C9" i="6"/>
  <c r="N8" i="6"/>
  <c r="K8" i="6"/>
  <c r="F8" i="6"/>
  <c r="C8" i="6"/>
  <c r="N7" i="6"/>
  <c r="K7" i="6"/>
  <c r="F7" i="6"/>
  <c r="C7" i="6"/>
  <c r="N6" i="6"/>
  <c r="K6" i="6"/>
  <c r="F6" i="6"/>
  <c r="C6" i="6"/>
  <c r="N5" i="6"/>
  <c r="K5" i="6"/>
  <c r="F5" i="6"/>
  <c r="C5" i="6"/>
  <c r="N44" i="6"/>
  <c r="J44" i="6"/>
  <c r="K44" i="6" s="1"/>
  <c r="F44" i="6"/>
  <c r="B44" i="6"/>
  <c r="C44" i="6" s="1"/>
  <c r="K43" i="6"/>
  <c r="F43" i="6"/>
  <c r="C43" i="6"/>
  <c r="N42" i="6"/>
  <c r="K42" i="6"/>
  <c r="F42" i="6"/>
  <c r="C42" i="6"/>
  <c r="N41" i="6"/>
  <c r="Q41" i="6" s="1"/>
  <c r="K41" i="6"/>
  <c r="F41" i="6"/>
  <c r="I41" i="6" s="1"/>
  <c r="C41" i="6"/>
  <c r="N40" i="6"/>
  <c r="K40" i="6"/>
  <c r="F40" i="6"/>
  <c r="C40" i="6"/>
  <c r="N39" i="6"/>
  <c r="K39" i="6"/>
  <c r="F39" i="6"/>
  <c r="C39" i="6"/>
  <c r="N38" i="6"/>
  <c r="K38" i="6"/>
  <c r="F38" i="6"/>
  <c r="C38" i="6"/>
  <c r="N37" i="6"/>
  <c r="K37" i="6"/>
  <c r="F37" i="6"/>
  <c r="C37" i="6"/>
  <c r="N36" i="6"/>
  <c r="K36" i="6"/>
  <c r="F36" i="6"/>
  <c r="C36" i="6"/>
  <c r="N35" i="6"/>
  <c r="K35" i="6"/>
  <c r="C35" i="6"/>
  <c r="K27" i="7"/>
  <c r="F27" i="7"/>
  <c r="K26" i="7"/>
  <c r="F26" i="7"/>
  <c r="K25" i="7"/>
  <c r="F25" i="7"/>
  <c r="K24" i="7"/>
  <c r="F24" i="7"/>
  <c r="K23" i="7"/>
  <c r="F23" i="7"/>
  <c r="K22" i="7"/>
  <c r="F22" i="7"/>
  <c r="K21" i="7"/>
  <c r="F21" i="7"/>
  <c r="K20" i="7"/>
  <c r="F20" i="7"/>
  <c r="K19" i="7"/>
  <c r="F19" i="7"/>
  <c r="K41" i="7"/>
  <c r="F41" i="7"/>
  <c r="K40" i="7"/>
  <c r="F40" i="7"/>
  <c r="K39" i="7"/>
  <c r="F39" i="7"/>
  <c r="K38" i="7"/>
  <c r="F38" i="7"/>
  <c r="K37" i="7"/>
  <c r="F37" i="7"/>
  <c r="K36" i="7"/>
  <c r="F36" i="7"/>
  <c r="K35" i="7"/>
  <c r="F35" i="7"/>
  <c r="K34" i="7"/>
  <c r="F34" i="7"/>
  <c r="K33" i="7"/>
  <c r="F33" i="7"/>
  <c r="F13" i="7"/>
  <c r="F12" i="7"/>
  <c r="F11" i="7"/>
  <c r="F10" i="7"/>
  <c r="F9" i="7"/>
  <c r="F8" i="7"/>
  <c r="F7" i="7"/>
  <c r="F6" i="7"/>
  <c r="F5" i="7"/>
  <c r="K6" i="7" l="1"/>
  <c r="K7" i="7"/>
  <c r="K8" i="7"/>
  <c r="K9" i="7"/>
  <c r="K10" i="7"/>
  <c r="K11" i="7"/>
  <c r="K12" i="7"/>
  <c r="K13" i="7"/>
  <c r="K5" i="7"/>
  <c r="AF44" i="2" l="1"/>
  <c r="AC44" i="2"/>
  <c r="V44" i="2"/>
  <c r="W44" i="2" s="1"/>
  <c r="B44" i="2"/>
  <c r="C44" i="2" s="1"/>
  <c r="V29" i="2"/>
  <c r="W29" i="2" s="1"/>
  <c r="B29" i="2"/>
  <c r="C29" i="2" s="1"/>
  <c r="W36" i="2"/>
  <c r="W37" i="2"/>
  <c r="W38" i="2"/>
  <c r="W39" i="2"/>
  <c r="W40" i="2"/>
  <c r="W41" i="2"/>
  <c r="W42" i="2"/>
  <c r="W43" i="2"/>
  <c r="W35" i="2"/>
  <c r="C36" i="2"/>
  <c r="C37" i="2"/>
  <c r="C38" i="2"/>
  <c r="C39" i="2"/>
  <c r="C40" i="2"/>
  <c r="C41" i="2"/>
  <c r="C42" i="2"/>
  <c r="C43" i="2"/>
  <c r="C35" i="2"/>
  <c r="C21" i="2"/>
  <c r="C22" i="2"/>
  <c r="C23" i="2"/>
  <c r="C24" i="2"/>
  <c r="C25" i="2"/>
  <c r="C26" i="2"/>
  <c r="C27" i="2"/>
  <c r="C28" i="2"/>
  <c r="C20" i="2"/>
  <c r="W21" i="2"/>
  <c r="W22" i="2"/>
  <c r="W23" i="2"/>
  <c r="W24" i="2"/>
  <c r="W25" i="2"/>
  <c r="W26" i="2"/>
  <c r="W27" i="2"/>
  <c r="W28" i="2"/>
  <c r="W20" i="2"/>
  <c r="W6" i="2"/>
  <c r="W7" i="2"/>
  <c r="W8" i="2"/>
  <c r="W9" i="2"/>
  <c r="W10" i="2"/>
  <c r="W11" i="2"/>
  <c r="W12" i="2"/>
  <c r="W13" i="2"/>
  <c r="W14" i="2"/>
  <c r="W5" i="2"/>
  <c r="C6" i="2"/>
  <c r="C7" i="2"/>
  <c r="C8" i="2"/>
  <c r="C9" i="2"/>
  <c r="C10" i="2"/>
  <c r="C11" i="2"/>
  <c r="C12" i="2"/>
  <c r="C13" i="2"/>
  <c r="C14" i="2"/>
  <c r="C5" i="2"/>
  <c r="F29" i="2" l="1"/>
  <c r="I29" i="2"/>
  <c r="L29" i="2"/>
  <c r="O29" i="2"/>
  <c r="Z29" i="2"/>
  <c r="AC29" i="2"/>
  <c r="AF29" i="2"/>
  <c r="AI29" i="2"/>
  <c r="AI14" i="2" l="1"/>
  <c r="AF14" i="2"/>
  <c r="AC14" i="2"/>
  <c r="Z14" i="2"/>
  <c r="O6" i="2"/>
  <c r="O7" i="2"/>
  <c r="O8" i="2"/>
  <c r="O9" i="2"/>
  <c r="O10" i="2"/>
  <c r="O11" i="2"/>
  <c r="O12" i="2"/>
  <c r="O13" i="2"/>
  <c r="O14" i="2"/>
  <c r="L6" i="2"/>
  <c r="L7" i="2"/>
  <c r="L8" i="2"/>
  <c r="L9" i="2"/>
  <c r="L10" i="2"/>
  <c r="L11" i="2"/>
  <c r="L12" i="2"/>
  <c r="L13" i="2"/>
  <c r="L14" i="2"/>
  <c r="I6" i="2"/>
  <c r="I7" i="2"/>
  <c r="I8" i="2"/>
  <c r="I9" i="2"/>
  <c r="I10" i="2"/>
  <c r="I11" i="2"/>
  <c r="I12" i="2"/>
  <c r="I13" i="2"/>
  <c r="I14" i="2"/>
  <c r="F6" i="2"/>
  <c r="F7" i="2"/>
  <c r="F8" i="2"/>
  <c r="F9" i="2"/>
  <c r="F10" i="2"/>
  <c r="F11" i="2"/>
  <c r="F12" i="2"/>
  <c r="F13" i="2"/>
  <c r="F14" i="2"/>
  <c r="AI44" i="2"/>
  <c r="Z44" i="2"/>
  <c r="O36" i="2"/>
  <c r="O37" i="2"/>
  <c r="O38" i="2"/>
  <c r="O39" i="2"/>
  <c r="O40" i="2"/>
  <c r="O41" i="2"/>
  <c r="O42" i="2"/>
  <c r="O43" i="2"/>
  <c r="O44" i="2"/>
  <c r="L36" i="2"/>
  <c r="L37" i="2"/>
  <c r="L38" i="2"/>
  <c r="L39" i="2"/>
  <c r="L40" i="2"/>
  <c r="L41" i="2"/>
  <c r="L42" i="2"/>
  <c r="L43" i="2"/>
  <c r="L44" i="2"/>
  <c r="I36" i="2"/>
  <c r="I37" i="2"/>
  <c r="I38" i="2"/>
  <c r="I39" i="2"/>
  <c r="I40" i="2"/>
  <c r="I41" i="2"/>
  <c r="I42" i="2"/>
  <c r="I43" i="2"/>
  <c r="I44" i="2"/>
  <c r="F36" i="2"/>
  <c r="F37" i="2"/>
  <c r="F38" i="2"/>
  <c r="F39" i="2"/>
  <c r="F40" i="2"/>
  <c r="F41" i="2"/>
  <c r="F42" i="2"/>
  <c r="F43" i="2"/>
  <c r="F44" i="2"/>
  <c r="AI42" i="2"/>
  <c r="AF42" i="2"/>
  <c r="AC42" i="2"/>
  <c r="Z42" i="2"/>
  <c r="AI41" i="2"/>
  <c r="AF41" i="2"/>
  <c r="AC41" i="2"/>
  <c r="Z41" i="2"/>
  <c r="AI40" i="2"/>
  <c r="AF40" i="2"/>
  <c r="AC40" i="2"/>
  <c r="Z40" i="2"/>
  <c r="AI39" i="2"/>
  <c r="AF39" i="2"/>
  <c r="AC39" i="2"/>
  <c r="Z39" i="2"/>
  <c r="AI38" i="2"/>
  <c r="AF38" i="2"/>
  <c r="AC38" i="2"/>
  <c r="Z38" i="2"/>
  <c r="AI37" i="2"/>
  <c r="AF37" i="2"/>
  <c r="AC37" i="2"/>
  <c r="Z37" i="2"/>
  <c r="AI36" i="2"/>
  <c r="AF36" i="2"/>
  <c r="AC36" i="2"/>
  <c r="Z36" i="2"/>
  <c r="AI35" i="2"/>
  <c r="AF35" i="2"/>
  <c r="AC35" i="2"/>
  <c r="Z35" i="2"/>
  <c r="O35" i="2"/>
  <c r="L35" i="2"/>
  <c r="I35" i="2"/>
  <c r="F35" i="2"/>
  <c r="AL41" i="2" l="1"/>
  <c r="AO41" i="2" s="1"/>
  <c r="R41" i="2"/>
  <c r="U41" i="2" s="1"/>
  <c r="R11" i="2"/>
  <c r="U11" i="2" s="1"/>
  <c r="AI28" i="2"/>
  <c r="AF28" i="2"/>
  <c r="AC28" i="2"/>
  <c r="Z28" i="2"/>
  <c r="O28" i="2"/>
  <c r="L28" i="2"/>
  <c r="I28" i="2"/>
  <c r="F28" i="2"/>
  <c r="AI27" i="2"/>
  <c r="AF27" i="2"/>
  <c r="AC27" i="2"/>
  <c r="Z27" i="2"/>
  <c r="O27" i="2"/>
  <c r="L27" i="2"/>
  <c r="I27" i="2"/>
  <c r="F27" i="2"/>
  <c r="AI12" i="2"/>
  <c r="AF12" i="2"/>
  <c r="AC12" i="2"/>
  <c r="Z12" i="2"/>
  <c r="AI26" i="2"/>
  <c r="AF26" i="2"/>
  <c r="AC26" i="2"/>
  <c r="Z26" i="2"/>
  <c r="O26" i="2"/>
  <c r="L26" i="2"/>
  <c r="I26" i="2"/>
  <c r="F26" i="2"/>
  <c r="AI11" i="2"/>
  <c r="AF11" i="2"/>
  <c r="AC11" i="2"/>
  <c r="Z11" i="2"/>
  <c r="AL11" i="2" l="1"/>
  <c r="AO11" i="2" s="1"/>
  <c r="AL26" i="2"/>
  <c r="AO26" i="2" s="1"/>
  <c r="R26" i="2"/>
  <c r="U26" i="2" s="1"/>
  <c r="AI21" i="2"/>
  <c r="AI22" i="2"/>
  <c r="AI23" i="2"/>
  <c r="AI24" i="2"/>
  <c r="AI25" i="2"/>
  <c r="AF21" i="2"/>
  <c r="AF22" i="2"/>
  <c r="AF23" i="2"/>
  <c r="AL23" i="2" s="1"/>
  <c r="AO23" i="2" s="1"/>
  <c r="AF24" i="2"/>
  <c r="AF25" i="2"/>
  <c r="AC21" i="2"/>
  <c r="AC22" i="2"/>
  <c r="AC23" i="2"/>
  <c r="AC24" i="2"/>
  <c r="AC25" i="2"/>
  <c r="Z25" i="2"/>
  <c r="Z21" i="2"/>
  <c r="Z22" i="2"/>
  <c r="Z23" i="2"/>
  <c r="Z24" i="2"/>
  <c r="O21" i="2"/>
  <c r="O22" i="2"/>
  <c r="O23" i="2"/>
  <c r="O24" i="2"/>
  <c r="O25" i="2"/>
  <c r="L21" i="2"/>
  <c r="L22" i="2"/>
  <c r="L23" i="2"/>
  <c r="L25" i="2"/>
  <c r="I21" i="2"/>
  <c r="I22" i="2"/>
  <c r="I23" i="2"/>
  <c r="F21" i="2"/>
  <c r="F22" i="2"/>
  <c r="F23" i="2"/>
  <c r="F24" i="2"/>
  <c r="F25" i="2"/>
  <c r="AI6" i="2"/>
  <c r="AI7" i="2"/>
  <c r="AI8" i="2"/>
  <c r="AI9" i="2"/>
  <c r="AI10" i="2"/>
  <c r="AF6" i="2"/>
  <c r="AF7" i="2"/>
  <c r="AF8" i="2"/>
  <c r="AF9" i="2"/>
  <c r="AF10" i="2"/>
  <c r="AC6" i="2"/>
  <c r="AC7" i="2"/>
  <c r="AC8" i="2"/>
  <c r="AC9" i="2"/>
  <c r="AC10" i="2"/>
  <c r="Z6" i="2"/>
  <c r="Z7" i="2"/>
  <c r="Z8" i="2"/>
  <c r="Z9" i="2"/>
  <c r="Z10" i="2"/>
  <c r="I20" i="2" l="1"/>
  <c r="AC20" i="2"/>
  <c r="AC5" i="2"/>
  <c r="AI20" i="2" l="1"/>
  <c r="AF20" i="2"/>
  <c r="Z20" i="2"/>
  <c r="O20" i="2"/>
  <c r="L20" i="2"/>
  <c r="F20" i="2"/>
  <c r="AI5" i="2"/>
  <c r="AF5" i="2"/>
  <c r="Z5" i="2"/>
  <c r="O5" i="2"/>
  <c r="L5" i="2"/>
  <c r="I5" i="2"/>
  <c r="F5" i="2"/>
</calcChain>
</file>

<file path=xl/sharedStrings.xml><?xml version="1.0" encoding="utf-8"?>
<sst xmlns="http://schemas.openxmlformats.org/spreadsheetml/2006/main" count="660" uniqueCount="78">
  <si>
    <t>Uncompressed</t>
  </si>
  <si>
    <t>Quartz</t>
  </si>
  <si>
    <t>P</t>
  </si>
  <si>
    <t>F</t>
  </si>
  <si>
    <t>Tool name</t>
  </si>
  <si>
    <t>Lossless (Y/N)</t>
  </si>
  <si>
    <t>Lossy (Y/N)</t>
  </si>
  <si>
    <t>Y</t>
  </si>
  <si>
    <t>Size (B)</t>
  </si>
  <si>
    <t>N/A</t>
  </si>
  <si>
    <t>theta=99.0</t>
  </si>
  <si>
    <t>theta=99.9</t>
  </si>
  <si>
    <t>theta=100.0</t>
  </si>
  <si>
    <t>theta=90.0</t>
  </si>
  <si>
    <t>Chromosome 20</t>
  </si>
  <si>
    <t>Chromosome 11</t>
  </si>
  <si>
    <t>Tool version</t>
  </si>
  <si>
    <t>N</t>
  </si>
  <si>
    <t>Crumble</t>
  </si>
  <si>
    <t>0.2.2</t>
  </si>
  <si>
    <t>d5383c6</t>
  </si>
  <si>
    <t>QVZ 2</t>
  </si>
  <si>
    <t>QVZ 2 T1</t>
  </si>
  <si>
    <t>QVZ 2 T2</t>
  </si>
  <si>
    <t>QVZ 2 T4</t>
  </si>
  <si>
    <t>QVZ 2 T8</t>
  </si>
  <si>
    <t>QVZ 2 T16</t>
  </si>
  <si>
    <t>H11</t>
  </si>
  <si>
    <t>H12</t>
  </si>
  <si>
    <t>ID</t>
  </si>
  <si>
    <t>Sequencing technology</t>
  </si>
  <si>
    <t>Illumina</t>
  </si>
  <si>
    <t>Ion Torrent</t>
  </si>
  <si>
    <t>Category</t>
  </si>
  <si>
    <t>Species</t>
  </si>
  <si>
    <t>File name</t>
  </si>
  <si>
    <t>Name</t>
  </si>
  <si>
    <t>Polyploidy</t>
  </si>
  <si>
    <t>Human</t>
  </si>
  <si>
    <t>NA12878-SRX517292</t>
  </si>
  <si>
    <t>NA12878_Garvan_replicate_J</t>
  </si>
  <si>
    <t>H. sapiens</t>
  </si>
  <si>
    <t>diploid</t>
  </si>
  <si>
    <t>SRR1238539.fastq</t>
  </si>
  <si>
    <t>NA12878_V2.5_Robot_2_R1.fastq</t>
  </si>
  <si>
    <t>NA12878_V2.5_Robot_2_R2.fastq</t>
  </si>
  <si>
    <t>Bits/QV</t>
  </si>
  <si>
    <t>Crumble -1 (+ CRAM)</t>
  </si>
  <si>
    <t>Crumble -9 (+ CRAM)</t>
  </si>
  <si>
    <t>Quartz (+ bzip2)</t>
  </si>
  <si>
    <t>Max</t>
  </si>
  <si>
    <t>Average</t>
  </si>
  <si>
    <t>Platform</t>
  </si>
  <si>
    <t>User</t>
  </si>
  <si>
    <t>System</t>
  </si>
  <si>
    <t>Total</t>
  </si>
  <si>
    <t>Time (s)</t>
  </si>
  <si>
    <t>H11 (Human/NA12878-SRX517292)</t>
  </si>
  <si>
    <t>Crumble -1</t>
  </si>
  <si>
    <t>Crumble -9</t>
  </si>
  <si>
    <t>H12 (Human/NA12878_Garvan_replicate_J)</t>
  </si>
  <si>
    <t>RAM usage (kB)</t>
  </si>
  <si>
    <t>Intel Xeon E5-2680 v3 CPU (2.50 GHz); 270 GB RAM</t>
  </si>
  <si>
    <t>Intel Xeon E5-2680 v3 CPU (2.50 GHz);270 GB RAM</t>
  </si>
  <si>
    <t>VQSR failed for chromosome 20</t>
  </si>
  <si>
    <t>Remarks</t>
  </si>
  <si>
    <t>H31</t>
  </si>
  <si>
    <t>ERP001775-aln</t>
  </si>
  <si>
    <t>ERR174324.aln_bowtie2.sorted.dupmark.rg.realn.recal.bam</t>
  </si>
  <si>
    <t>H31 (Human/ERP001775-aln)</t>
  </si>
  <si>
    <t>averages</t>
  </si>
  <si>
    <t>diff</t>
  </si>
  <si>
    <t>average diffs</t>
  </si>
  <si>
    <t>hard filtered</t>
  </si>
  <si>
    <t>platyp'd</t>
  </si>
  <si>
    <t>R</t>
  </si>
  <si>
    <t>QScomp</t>
  </si>
  <si>
    <t>dim1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</si>
</sst>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\ _€_-;\-* #,##0.00\ _€_-;_-* &quot;-&quot;??\ _€_-;_-@_-"/>
    <numFmt numFmtId="165" formatCode="0.0000"/>
    <numFmt numFmtId="166" formatCode="_-* #,##0\ _€_-;\-* #,##0\ _€_-;_-* &quot;-&quot;??\ _€_-;_-@_-"/>
    <numFmt numFmtId="167" formatCode="_-* #,##0\ _€_-;\-* #,##0\ _€_-;_-* \-??\ _€_-;_-@_-"/>
    <numFmt numFmtId="168" formatCode="00"/>
    <numFmt numFmtId="169" formatCode="_-* #,##0.0000\ _€_-;\-* #,##0.0000\ _€_-;_-* &quot;-&quot;??\ _€_-;_-@_-"/>
    <numFmt numFmtId="170" formatCode="#,##0,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4">
    <xf numFmtId="0" fontId="0" fillId="0" borderId="0" xfId="0"/>
    <xf numFmtId="0" fontId="1" fillId="0" borderId="1" xfId="0" applyFont="1" applyBorder="1"/>
    <xf numFmtId="166" fontId="0" fillId="0" borderId="1" xfId="1" applyNumberFormat="1" applyFont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65" fontId="0" fillId="0" borderId="0" xfId="0" applyNumberFormat="1" applyBorder="1"/>
    <xf numFmtId="0" fontId="0" fillId="0" borderId="0" xfId="0" applyBorder="1"/>
    <xf numFmtId="0" fontId="1" fillId="0" borderId="0" xfId="0" applyFont="1" applyBorder="1"/>
    <xf numFmtId="166" fontId="0" fillId="0" borderId="0" xfId="1" applyNumberFormat="1" applyFont="1" applyBorder="1"/>
    <xf numFmtId="165" fontId="0" fillId="0" borderId="1" xfId="0" applyNumberFormat="1" applyFill="1" applyBorder="1"/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1" xfId="0" applyBorder="1"/>
    <xf numFmtId="0" fontId="1" fillId="0" borderId="1" xfId="0" applyFont="1" applyBorder="1"/>
    <xf numFmtId="165" fontId="0" fillId="0" borderId="1" xfId="0" applyNumberFormat="1" applyBorder="1"/>
    <xf numFmtId="166" fontId="0" fillId="0" borderId="1" xfId="1" applyNumberFormat="1" applyFont="1" applyBorder="1"/>
    <xf numFmtId="165" fontId="0" fillId="0" borderId="1" xfId="0" applyNumberFormat="1" applyFill="1" applyBorder="1"/>
    <xf numFmtId="166" fontId="0" fillId="0" borderId="1" xfId="1" applyNumberFormat="1" applyFont="1" applyFill="1" applyBorder="1"/>
    <xf numFmtId="0" fontId="4" fillId="0" borderId="1" xfId="0" applyFont="1" applyBorder="1"/>
    <xf numFmtId="165" fontId="0" fillId="2" borderId="1" xfId="0" applyNumberForma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9" fontId="0" fillId="0" borderId="1" xfId="1" applyNumberFormat="1" applyFont="1" applyFill="1" applyBorder="1"/>
    <xf numFmtId="169" fontId="0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170" fontId="0" fillId="0" borderId="1" xfId="1" applyNumberFormat="1" applyFont="1" applyBorder="1" applyAlignment="1"/>
    <xf numFmtId="3" fontId="5" fillId="0" borderId="0" xfId="0" applyNumberFormat="1" applyFont="1"/>
    <xf numFmtId="0" fontId="0" fillId="0" borderId="0" xfId="0" applyBorder="1" applyAlignment="1">
      <alignment vertical="center"/>
    </xf>
    <xf numFmtId="11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/>
    <xf numFmtId="0" fontId="4" fillId="0" borderId="1" xfId="0" applyFont="1" applyFill="1" applyBorder="1"/>
    <xf numFmtId="167" fontId="0" fillId="0" borderId="1" xfId="1" applyNumberFormat="1" applyFont="1" applyFill="1" applyBorder="1" applyAlignment="1" applyProtection="1"/>
    <xf numFmtId="0" fontId="1" fillId="0" borderId="0" xfId="0" applyFont="1" applyFill="1" applyBorder="1"/>
    <xf numFmtId="166" fontId="0" fillId="0" borderId="0" xfId="1" applyNumberFormat="1" applyFont="1" applyFill="1" applyBorder="1"/>
    <xf numFmtId="165" fontId="0" fillId="0" borderId="0" xfId="0" applyNumberFormat="1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4" sqref="A4"/>
    </sheetView>
  </sheetViews>
  <sheetFormatPr baseColWidth="10" defaultColWidth="8.77734375" defaultRowHeight="14.4" x14ac:dyDescent="0.3"/>
  <cols>
    <col min="1" max="1" width="10.21875" bestFit="1" customWidth="1"/>
    <col min="2" max="2" width="11.21875" bestFit="1" customWidth="1"/>
    <col min="3" max="3" width="12.5546875" bestFit="1" customWidth="1"/>
    <col min="4" max="4" width="10.5546875" bestFit="1" customWidth="1"/>
  </cols>
  <sheetData>
    <row r="1" spans="1:4" x14ac:dyDescent="0.3">
      <c r="A1" s="31" t="s">
        <v>4</v>
      </c>
      <c r="B1" s="31" t="s">
        <v>16</v>
      </c>
      <c r="C1" s="31" t="s">
        <v>5</v>
      </c>
      <c r="D1" s="31" t="s">
        <v>6</v>
      </c>
    </row>
    <row r="2" spans="1:4" x14ac:dyDescent="0.3">
      <c r="A2" s="22" t="s">
        <v>21</v>
      </c>
      <c r="B2" s="22" t="s">
        <v>20</v>
      </c>
      <c r="C2" s="21" t="s">
        <v>7</v>
      </c>
      <c r="D2" s="21" t="s">
        <v>7</v>
      </c>
    </row>
    <row r="3" spans="1:4" x14ac:dyDescent="0.3">
      <c r="A3" s="11" t="s">
        <v>76</v>
      </c>
      <c r="B3" s="30" t="s">
        <v>9</v>
      </c>
      <c r="C3" s="21" t="s">
        <v>7</v>
      </c>
      <c r="D3" s="21" t="s">
        <v>7</v>
      </c>
    </row>
    <row r="4" spans="1:4" s="12" customFormat="1" x14ac:dyDescent="0.3">
      <c r="A4" s="11" t="s">
        <v>18</v>
      </c>
      <c r="B4" s="11">
        <v>0.5</v>
      </c>
      <c r="C4" s="21" t="s">
        <v>17</v>
      </c>
      <c r="D4" s="21" t="s">
        <v>7</v>
      </c>
    </row>
    <row r="5" spans="1:4" x14ac:dyDescent="0.3">
      <c r="A5" s="21" t="s">
        <v>1</v>
      </c>
      <c r="B5" s="21" t="s">
        <v>19</v>
      </c>
      <c r="C5" s="21" t="s">
        <v>17</v>
      </c>
      <c r="D5" s="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D9" sqref="D9"/>
    </sheetView>
  </sheetViews>
  <sheetFormatPr baseColWidth="10" defaultColWidth="11.44140625" defaultRowHeight="14.4" x14ac:dyDescent="0.3"/>
  <cols>
    <col min="1" max="1" width="4.21875" bestFit="1" customWidth="1"/>
    <col min="2" max="2" width="8.77734375" style="12" bestFit="1" customWidth="1"/>
    <col min="3" max="3" width="25.21875" style="12" bestFit="1" customWidth="1"/>
    <col min="4" max="4" width="50.5546875" style="12" bestFit="1" customWidth="1"/>
    <col min="5" max="5" width="9.21875" style="12" bestFit="1" customWidth="1"/>
    <col min="6" max="6" width="9.88671875" style="12" bestFit="1" customWidth="1"/>
    <col min="7" max="7" width="20.77734375" bestFit="1" customWidth="1"/>
  </cols>
  <sheetData>
    <row r="1" spans="1:9" x14ac:dyDescent="0.3">
      <c r="A1" s="31" t="s">
        <v>29</v>
      </c>
      <c r="B1" s="31" t="s">
        <v>33</v>
      </c>
      <c r="C1" s="31" t="s">
        <v>36</v>
      </c>
      <c r="D1" s="31" t="s">
        <v>35</v>
      </c>
      <c r="E1" s="31" t="s">
        <v>34</v>
      </c>
      <c r="F1" s="31" t="s">
        <v>37</v>
      </c>
      <c r="G1" s="31" t="s">
        <v>30</v>
      </c>
    </row>
    <row r="2" spans="1:9" x14ac:dyDescent="0.3">
      <c r="A2" s="13" t="s">
        <v>27</v>
      </c>
      <c r="B2" s="13" t="s">
        <v>38</v>
      </c>
      <c r="C2" s="13" t="s">
        <v>39</v>
      </c>
      <c r="D2" s="13" t="s">
        <v>43</v>
      </c>
      <c r="E2" s="13" t="s">
        <v>41</v>
      </c>
      <c r="F2" s="10" t="s">
        <v>42</v>
      </c>
      <c r="G2" s="13" t="s">
        <v>32</v>
      </c>
    </row>
    <row r="3" spans="1:9" x14ac:dyDescent="0.3">
      <c r="A3" s="43" t="s">
        <v>28</v>
      </c>
      <c r="B3" s="43" t="s">
        <v>38</v>
      </c>
      <c r="C3" s="43" t="s">
        <v>40</v>
      </c>
      <c r="D3" s="13" t="s">
        <v>44</v>
      </c>
      <c r="E3" s="43" t="s">
        <v>41</v>
      </c>
      <c r="F3" s="43" t="s">
        <v>42</v>
      </c>
      <c r="G3" s="43" t="s">
        <v>31</v>
      </c>
    </row>
    <row r="4" spans="1:9" s="12" customFormat="1" x14ac:dyDescent="0.3">
      <c r="A4" s="44"/>
      <c r="B4" s="44"/>
      <c r="C4" s="44"/>
      <c r="D4" s="13" t="s">
        <v>45</v>
      </c>
      <c r="E4" s="44"/>
      <c r="F4" s="44"/>
      <c r="G4" s="44"/>
    </row>
    <row r="5" spans="1:9" s="12" customFormat="1" x14ac:dyDescent="0.3">
      <c r="A5" s="13" t="s">
        <v>66</v>
      </c>
      <c r="B5" s="13" t="s">
        <v>38</v>
      </c>
      <c r="C5" s="13" t="s">
        <v>67</v>
      </c>
      <c r="D5" s="13" t="s">
        <v>68</v>
      </c>
      <c r="E5" s="13" t="s">
        <v>41</v>
      </c>
      <c r="F5" s="10" t="s">
        <v>42</v>
      </c>
      <c r="G5" s="13" t="s">
        <v>31</v>
      </c>
    </row>
    <row r="7" spans="1:9" x14ac:dyDescent="0.3">
      <c r="F7" s="6"/>
      <c r="G7" s="6"/>
    </row>
    <row r="8" spans="1:9" x14ac:dyDescent="0.3">
      <c r="F8" s="6"/>
      <c r="G8" s="6"/>
    </row>
    <row r="9" spans="1:9" x14ac:dyDescent="0.3">
      <c r="F9" s="6"/>
      <c r="G9" s="6"/>
    </row>
    <row r="10" spans="1:9" x14ac:dyDescent="0.3">
      <c r="F10" s="6"/>
      <c r="G10" s="6"/>
      <c r="I10" s="12"/>
    </row>
    <row r="11" spans="1:9" x14ac:dyDescent="0.3">
      <c r="F11" s="6"/>
      <c r="G11" s="6"/>
      <c r="I11" s="28"/>
    </row>
    <row r="12" spans="1:9" x14ac:dyDescent="0.3">
      <c r="F12" s="6"/>
      <c r="G12" s="6"/>
    </row>
    <row r="13" spans="1:9" x14ac:dyDescent="0.3">
      <c r="F13" s="29"/>
      <c r="G13" s="6"/>
    </row>
    <row r="14" spans="1:9" x14ac:dyDescent="0.3">
      <c r="F14" s="29"/>
      <c r="G14" s="6"/>
    </row>
    <row r="15" spans="1:9" x14ac:dyDescent="0.3">
      <c r="F15" s="6"/>
      <c r="G15" s="6"/>
    </row>
    <row r="16" spans="1:9" x14ac:dyDescent="0.3">
      <c r="F16" s="6"/>
      <c r="G16" s="6"/>
    </row>
    <row r="17" spans="6:7" x14ac:dyDescent="0.3">
      <c r="F17" s="6"/>
      <c r="G17" s="6"/>
    </row>
    <row r="18" spans="6:7" x14ac:dyDescent="0.3">
      <c r="F18" s="6"/>
      <c r="G18" s="6"/>
    </row>
    <row r="19" spans="6:7" x14ac:dyDescent="0.3">
      <c r="F19" s="6"/>
      <c r="G19" s="6"/>
    </row>
    <row r="20" spans="6:7" x14ac:dyDescent="0.3">
      <c r="F20" s="6"/>
      <c r="G20" s="6"/>
    </row>
    <row r="21" spans="6:7" x14ac:dyDescent="0.3">
      <c r="F21" s="6"/>
      <c r="G21" s="6"/>
    </row>
    <row r="22" spans="6:7" x14ac:dyDescent="0.3">
      <c r="F22" s="6"/>
      <c r="G22" s="6"/>
    </row>
    <row r="23" spans="6:7" x14ac:dyDescent="0.3">
      <c r="F23" s="6"/>
      <c r="G23" s="6"/>
    </row>
    <row r="24" spans="6:7" x14ac:dyDescent="0.3">
      <c r="F24" s="6"/>
      <c r="G24" s="6"/>
    </row>
  </sheetData>
  <mergeCells count="6">
    <mergeCell ref="G3:G4"/>
    <mergeCell ref="A3:A4"/>
    <mergeCell ref="B3:B4"/>
    <mergeCell ref="C3:C4"/>
    <mergeCell ref="E3:E4"/>
    <mergeCell ref="F3:F4"/>
  </mergeCells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1"/>
  <sheetViews>
    <sheetView zoomScale="85" zoomScaleNormal="85" workbookViewId="0">
      <selection activeCell="AP11" sqref="AP11"/>
    </sheetView>
  </sheetViews>
  <sheetFormatPr baseColWidth="10" defaultColWidth="8.77734375" defaultRowHeight="14.4" x14ac:dyDescent="0.3"/>
  <cols>
    <col min="1" max="1" width="19.77734375" bestFit="1" customWidth="1"/>
    <col min="2" max="2" width="17.44140625" bestFit="1" customWidth="1"/>
    <col min="3" max="3" width="9.44140625" style="12" bestFit="1" customWidth="1"/>
    <col min="4" max="15" width="8.44140625" customWidth="1"/>
    <col min="16" max="21" width="8.44140625" style="12" customWidth="1"/>
    <col min="22" max="22" width="16" bestFit="1" customWidth="1"/>
    <col min="23" max="23" width="9.44140625" style="12" bestFit="1" customWidth="1"/>
    <col min="24" max="35" width="8.44140625" customWidth="1"/>
    <col min="36" max="41" width="8.44140625" style="12" customWidth="1"/>
    <col min="42" max="42" width="29.44140625" bestFit="1" customWidth="1"/>
  </cols>
  <sheetData>
    <row r="1" spans="1:42" ht="18" x14ac:dyDescent="0.35">
      <c r="A1" s="45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</row>
    <row r="2" spans="1:42" x14ac:dyDescent="0.3">
      <c r="A2" s="48"/>
      <c r="B2" s="57" t="s">
        <v>15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9"/>
      <c r="V2" s="57" t="s">
        <v>14</v>
      </c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9"/>
      <c r="AP2" s="52" t="s">
        <v>65</v>
      </c>
    </row>
    <row r="3" spans="1:42" x14ac:dyDescent="0.3">
      <c r="A3" s="48"/>
      <c r="B3" s="52" t="s">
        <v>8</v>
      </c>
      <c r="C3" s="53" t="s">
        <v>46</v>
      </c>
      <c r="D3" s="47" t="s">
        <v>13</v>
      </c>
      <c r="E3" s="47"/>
      <c r="F3" s="47"/>
      <c r="G3" s="47" t="s">
        <v>10</v>
      </c>
      <c r="H3" s="47"/>
      <c r="I3" s="47"/>
      <c r="J3" s="47" t="s">
        <v>11</v>
      </c>
      <c r="K3" s="47"/>
      <c r="L3" s="47"/>
      <c r="M3" s="47" t="s">
        <v>12</v>
      </c>
      <c r="N3" s="47"/>
      <c r="O3" s="47"/>
      <c r="P3" s="57" t="s">
        <v>70</v>
      </c>
      <c r="Q3" s="58"/>
      <c r="R3" s="59"/>
      <c r="S3" s="57" t="s">
        <v>72</v>
      </c>
      <c r="T3" s="58"/>
      <c r="U3" s="59"/>
      <c r="V3" s="52" t="s">
        <v>8</v>
      </c>
      <c r="W3" s="53" t="s">
        <v>46</v>
      </c>
      <c r="X3" s="47" t="s">
        <v>13</v>
      </c>
      <c r="Y3" s="47"/>
      <c r="Z3" s="47"/>
      <c r="AA3" s="47" t="s">
        <v>10</v>
      </c>
      <c r="AB3" s="47"/>
      <c r="AC3" s="47"/>
      <c r="AD3" s="47" t="s">
        <v>11</v>
      </c>
      <c r="AE3" s="47"/>
      <c r="AF3" s="47"/>
      <c r="AG3" s="47" t="s">
        <v>12</v>
      </c>
      <c r="AH3" s="47"/>
      <c r="AI3" s="47"/>
      <c r="AJ3" s="57" t="s">
        <v>70</v>
      </c>
      <c r="AK3" s="58"/>
      <c r="AL3" s="59"/>
      <c r="AM3" s="57" t="s">
        <v>72</v>
      </c>
      <c r="AN3" s="58"/>
      <c r="AO3" s="59"/>
      <c r="AP3" s="52"/>
    </row>
    <row r="4" spans="1:42" x14ac:dyDescent="0.3">
      <c r="A4" s="48"/>
      <c r="B4" s="52"/>
      <c r="C4" s="54"/>
      <c r="D4" s="42" t="s">
        <v>75</v>
      </c>
      <c r="E4" s="4" t="s">
        <v>2</v>
      </c>
      <c r="F4" s="4" t="s">
        <v>3</v>
      </c>
      <c r="G4" s="42" t="s">
        <v>75</v>
      </c>
      <c r="H4" s="4" t="s">
        <v>2</v>
      </c>
      <c r="I4" s="4" t="s">
        <v>3</v>
      </c>
      <c r="J4" s="42" t="s">
        <v>75</v>
      </c>
      <c r="K4" s="4" t="s">
        <v>2</v>
      </c>
      <c r="L4" s="4" t="s">
        <v>3</v>
      </c>
      <c r="M4" s="42" t="s">
        <v>75</v>
      </c>
      <c r="N4" s="4" t="s">
        <v>2</v>
      </c>
      <c r="O4" s="4" t="s">
        <v>3</v>
      </c>
      <c r="P4" s="42" t="s">
        <v>75</v>
      </c>
      <c r="Q4" s="40" t="s">
        <v>2</v>
      </c>
      <c r="R4" s="40" t="s">
        <v>3</v>
      </c>
      <c r="S4" s="42" t="s">
        <v>75</v>
      </c>
      <c r="T4" s="40" t="s">
        <v>2</v>
      </c>
      <c r="U4" s="40" t="s">
        <v>3</v>
      </c>
      <c r="V4" s="52"/>
      <c r="W4" s="54"/>
      <c r="X4" s="42" t="s">
        <v>75</v>
      </c>
      <c r="Y4" s="4" t="s">
        <v>2</v>
      </c>
      <c r="Z4" s="4" t="s">
        <v>3</v>
      </c>
      <c r="AA4" s="42" t="s">
        <v>75</v>
      </c>
      <c r="AB4" s="4" t="s">
        <v>2</v>
      </c>
      <c r="AC4" s="4" t="s">
        <v>3</v>
      </c>
      <c r="AD4" s="42" t="s">
        <v>75</v>
      </c>
      <c r="AE4" s="4" t="s">
        <v>2</v>
      </c>
      <c r="AF4" s="4" t="s">
        <v>3</v>
      </c>
      <c r="AG4" s="42" t="s">
        <v>75</v>
      </c>
      <c r="AH4" s="4" t="s">
        <v>2</v>
      </c>
      <c r="AI4" s="4" t="s">
        <v>3</v>
      </c>
      <c r="AJ4" s="42" t="s">
        <v>75</v>
      </c>
      <c r="AK4" s="40" t="s">
        <v>2</v>
      </c>
      <c r="AL4" s="40" t="s">
        <v>3</v>
      </c>
      <c r="AM4" s="42" t="s">
        <v>75</v>
      </c>
      <c r="AN4" s="40" t="s">
        <v>2</v>
      </c>
      <c r="AO4" s="40" t="s">
        <v>3</v>
      </c>
      <c r="AP4" s="52"/>
    </row>
    <row r="5" spans="1:42" x14ac:dyDescent="0.3">
      <c r="A5" s="1" t="s">
        <v>0</v>
      </c>
      <c r="B5" s="2">
        <v>1402713277</v>
      </c>
      <c r="C5" s="24">
        <f>(B5/$B$5)*8</f>
        <v>8</v>
      </c>
      <c r="D5" s="9">
        <v>0.4824</v>
      </c>
      <c r="E5" s="9">
        <v>0.93789999999999996</v>
      </c>
      <c r="F5" s="3">
        <f>2*((D5*E5)/(D5+E5))</f>
        <v>0.63710900513975921</v>
      </c>
      <c r="G5" s="9">
        <v>0.53920000000000001</v>
      </c>
      <c r="H5" s="9">
        <v>0.93979999999999997</v>
      </c>
      <c r="I5" s="3">
        <f t="shared" ref="I5:I14" si="0">2*((G5*H5)/(G5+H5))</f>
        <v>0.68524700473292766</v>
      </c>
      <c r="J5" s="9">
        <v>0.5524</v>
      </c>
      <c r="K5" s="9">
        <v>0.93930000000000002</v>
      </c>
      <c r="L5" s="3">
        <f t="shared" ref="L5:L14" si="1">2*((J5*K5)/(J5+K5))</f>
        <v>0.69567516256619955</v>
      </c>
      <c r="M5" s="9">
        <v>0.55549999999999999</v>
      </c>
      <c r="N5" s="9">
        <v>0.93720000000000003</v>
      </c>
      <c r="O5" s="3">
        <f t="shared" ref="O5:O14" si="2">2*((M5*N5)/(M5+N5))</f>
        <v>0.6975475313190862</v>
      </c>
      <c r="P5" s="15">
        <f>(D5+G5+J5+M5)/4</f>
        <v>0.53237500000000004</v>
      </c>
      <c r="Q5" s="15">
        <f t="shared" ref="Q5:Q14" si="3">(E5+H5+K5+N5)/4</f>
        <v>0.93855</v>
      </c>
      <c r="R5" s="15">
        <f>(F5+I5+L5+O5)/4</f>
        <v>0.67889467593949315</v>
      </c>
      <c r="S5" s="15">
        <f>P5-P$5</f>
        <v>0</v>
      </c>
      <c r="T5" s="15">
        <f>Q5-Q$5</f>
        <v>0</v>
      </c>
      <c r="U5" s="15">
        <f t="shared" ref="U5:U14" si="4">R5-R$5</f>
        <v>0</v>
      </c>
      <c r="V5" s="2">
        <v>622751899</v>
      </c>
      <c r="W5" s="24">
        <f>(V5/$V$5)*8</f>
        <v>8</v>
      </c>
      <c r="X5" s="9">
        <v>0.46899999999999997</v>
      </c>
      <c r="Y5" s="9">
        <v>0.92700000000000005</v>
      </c>
      <c r="Z5" s="3">
        <f>2*((X5*Y5)/(X5+Y5))</f>
        <v>0.62286962750716335</v>
      </c>
      <c r="AA5" s="10">
        <v>0.51880000000000004</v>
      </c>
      <c r="AB5" s="10">
        <v>0.92959999999999998</v>
      </c>
      <c r="AC5" s="3">
        <f t="shared" ref="AC5" si="5">2*((AA5*AB5)/(AA5+AB5))</f>
        <v>0.66594377243855296</v>
      </c>
      <c r="AD5" s="9">
        <v>0.53100000000000003</v>
      </c>
      <c r="AE5" s="9">
        <v>0.9294</v>
      </c>
      <c r="AF5" s="3">
        <f t="shared" ref="AF5:AF14" si="6">2*((AD5*AE5)/(AD5+AE5))</f>
        <v>0.67585784716516029</v>
      </c>
      <c r="AG5" s="9">
        <v>0.53300000000000003</v>
      </c>
      <c r="AH5" s="9">
        <v>0.92669999999999997</v>
      </c>
      <c r="AI5" s="3">
        <f t="shared" ref="AI5:AI14" si="7">2*((AG5*AH5)/(AG5+AH5))</f>
        <v>0.67675700486401313</v>
      </c>
      <c r="AJ5" s="15">
        <f>(X5+AA5+AD5+AG5)/4</f>
        <v>0.51295000000000002</v>
      </c>
      <c r="AK5" s="15">
        <f t="shared" ref="AK5:AL5" si="8">(Y5+AB5+AE5+AH5)/4</f>
        <v>0.92817499999999997</v>
      </c>
      <c r="AL5" s="15">
        <f t="shared" si="8"/>
        <v>0.66035706299372243</v>
      </c>
      <c r="AM5" s="15">
        <f>AJ5-AJ$5</f>
        <v>0</v>
      </c>
      <c r="AN5" s="15">
        <f t="shared" ref="AN5:AO14" si="9">AK5-AK$5</f>
        <v>0</v>
      </c>
      <c r="AO5" s="15">
        <f t="shared" si="9"/>
        <v>0</v>
      </c>
      <c r="AP5" s="13" t="s">
        <v>9</v>
      </c>
    </row>
    <row r="6" spans="1:42" s="12" customFormat="1" x14ac:dyDescent="0.3">
      <c r="A6" s="32" t="s">
        <v>22</v>
      </c>
      <c r="B6" s="18">
        <v>346716840</v>
      </c>
      <c r="C6" s="23">
        <f t="shared" ref="C6:C14" si="10">(B6/$B$5)*8</f>
        <v>1.9774067626508964</v>
      </c>
      <c r="D6" s="17">
        <v>0.48320000000000002</v>
      </c>
      <c r="E6" s="17">
        <v>0.93859999999999999</v>
      </c>
      <c r="F6" s="17">
        <f t="shared" ref="F6:F14" si="11">2*((D6*E6)/(D6+E6))</f>
        <v>0.63796809677873123</v>
      </c>
      <c r="G6" s="17">
        <v>0.53800000000000003</v>
      </c>
      <c r="H6" s="17">
        <v>0.94020000000000004</v>
      </c>
      <c r="I6" s="17">
        <f t="shared" si="0"/>
        <v>0.68438316871871197</v>
      </c>
      <c r="J6" s="17">
        <v>0.55000000000000004</v>
      </c>
      <c r="K6" s="17">
        <v>0.94020000000000004</v>
      </c>
      <c r="L6" s="17">
        <f t="shared" si="1"/>
        <v>0.69401422627835185</v>
      </c>
      <c r="M6" s="17">
        <v>0.5544</v>
      </c>
      <c r="N6" s="17">
        <v>0.9375</v>
      </c>
      <c r="O6" s="17">
        <f t="shared" si="2"/>
        <v>0.69676251759501318</v>
      </c>
      <c r="P6" s="15">
        <f t="shared" ref="P6:P14" si="12">(D6+G6+J6+M6)/4</f>
        <v>0.53140000000000009</v>
      </c>
      <c r="Q6" s="15">
        <f t="shared" si="3"/>
        <v>0.93912499999999999</v>
      </c>
      <c r="R6" s="15">
        <f t="shared" ref="R6:R14" si="13">(F6+I6+L6+O6)/4</f>
        <v>0.67828200234270208</v>
      </c>
      <c r="S6" s="15">
        <f t="shared" ref="S6:S14" si="14">P6-P$5</f>
        <v>-9.7499999999994813E-4</v>
      </c>
      <c r="T6" s="15">
        <f t="shared" ref="T6:T14" si="15">Q6-Q$5</f>
        <v>5.7499999999999218E-4</v>
      </c>
      <c r="U6" s="15">
        <f t="shared" si="4"/>
        <v>-6.1267359679106903E-4</v>
      </c>
      <c r="V6" s="18">
        <v>155988650</v>
      </c>
      <c r="W6" s="23">
        <f t="shared" ref="W6:W14" si="16">(V6/$V$5)*8</f>
        <v>2.0038625365958138</v>
      </c>
      <c r="X6" s="17">
        <v>0.46889999999999998</v>
      </c>
      <c r="Y6" s="17">
        <v>0.92649999999999999</v>
      </c>
      <c r="Z6" s="17">
        <f t="shared" ref="Z6:Z14" si="17">2*((X6*Y6)/(X6+Y6))</f>
        <v>0.62266855381969322</v>
      </c>
      <c r="AA6" s="17">
        <v>0.51919999999999999</v>
      </c>
      <c r="AB6" s="17">
        <v>0.92920000000000003</v>
      </c>
      <c r="AC6" s="17">
        <f t="shared" ref="AC6:AC10" si="18">2*((AA6*AB6)/(AA6+AB6))</f>
        <v>0.6661704501518918</v>
      </c>
      <c r="AD6" s="17">
        <v>0.52849999999999997</v>
      </c>
      <c r="AE6" s="17">
        <v>0.92730000000000001</v>
      </c>
      <c r="AF6" s="17">
        <f t="shared" si="6"/>
        <v>0.67327661766726199</v>
      </c>
      <c r="AG6" s="17">
        <v>0.53039999999999998</v>
      </c>
      <c r="AH6" s="17">
        <v>0.92549999999999999</v>
      </c>
      <c r="AI6" s="17">
        <f t="shared" si="7"/>
        <v>0.67433917164640422</v>
      </c>
      <c r="AJ6" s="15">
        <f t="shared" ref="AJ6:AJ14" si="19">(X6+AA6+AD6+AG6)/4</f>
        <v>0.51174999999999993</v>
      </c>
      <c r="AK6" s="15">
        <f t="shared" ref="AK6:AK14" si="20">(Y6+AB6+AE6+AH6)/4</f>
        <v>0.92712500000000009</v>
      </c>
      <c r="AL6" s="15">
        <f t="shared" ref="AL6:AL14" si="21">(Z6+AC6+AF6+AI6)/4</f>
        <v>0.65911369832131284</v>
      </c>
      <c r="AM6" s="15">
        <f t="shared" ref="AM6:AM14" si="22">AJ6-AJ$5</f>
        <v>-1.2000000000000899E-3</v>
      </c>
      <c r="AN6" s="15">
        <f t="shared" si="9"/>
        <v>-1.0499999999998844E-3</v>
      </c>
      <c r="AO6" s="15">
        <f t="shared" si="9"/>
        <v>-1.243364672409597E-3</v>
      </c>
      <c r="AP6" s="10" t="s">
        <v>9</v>
      </c>
    </row>
    <row r="7" spans="1:42" s="12" customFormat="1" x14ac:dyDescent="0.3">
      <c r="A7" s="32" t="s">
        <v>23</v>
      </c>
      <c r="B7" s="18">
        <v>273266584</v>
      </c>
      <c r="C7" s="23">
        <f t="shared" si="10"/>
        <v>1.5585028728576011</v>
      </c>
      <c r="D7" s="17">
        <v>0.48699999999999999</v>
      </c>
      <c r="E7" s="17">
        <v>0.93840000000000001</v>
      </c>
      <c r="F7" s="17">
        <f t="shared" si="11"/>
        <v>0.64122463869790935</v>
      </c>
      <c r="G7" s="17">
        <v>0.54179999999999995</v>
      </c>
      <c r="H7" s="17">
        <v>0.9405</v>
      </c>
      <c r="I7" s="17">
        <f t="shared" si="0"/>
        <v>0.68753005464480865</v>
      </c>
      <c r="J7" s="17">
        <v>0.55410000000000004</v>
      </c>
      <c r="K7" s="17">
        <v>0.94020000000000004</v>
      </c>
      <c r="L7" s="17">
        <f t="shared" si="1"/>
        <v>0.69726938365790014</v>
      </c>
      <c r="M7" s="17">
        <v>0.55789999999999995</v>
      </c>
      <c r="N7" s="17">
        <v>0.93779999999999997</v>
      </c>
      <c r="O7" s="17">
        <f t="shared" si="2"/>
        <v>0.69960369057966176</v>
      </c>
      <c r="P7" s="15">
        <f t="shared" si="12"/>
        <v>0.53520000000000001</v>
      </c>
      <c r="Q7" s="15">
        <f t="shared" si="3"/>
        <v>0.93922499999999998</v>
      </c>
      <c r="R7" s="15">
        <f t="shared" si="13"/>
        <v>0.6814069418950699</v>
      </c>
      <c r="S7" s="15">
        <f t="shared" si="14"/>
        <v>2.8249999999999664E-3</v>
      </c>
      <c r="T7" s="15">
        <f t="shared" si="15"/>
        <v>6.7499999999998117E-4</v>
      </c>
      <c r="U7" s="15">
        <f t="shared" si="4"/>
        <v>2.5122659555767424E-3</v>
      </c>
      <c r="V7" s="18">
        <v>122833357</v>
      </c>
      <c r="W7" s="23">
        <f t="shared" si="16"/>
        <v>1.5779427691476215</v>
      </c>
      <c r="X7" s="17">
        <v>0.46800000000000003</v>
      </c>
      <c r="Y7" s="17">
        <v>0.9284</v>
      </c>
      <c r="Z7" s="17">
        <f t="shared" si="17"/>
        <v>0.62230191922085365</v>
      </c>
      <c r="AA7" s="17">
        <v>0.52200000000000002</v>
      </c>
      <c r="AB7" s="17">
        <v>0.92989999999999995</v>
      </c>
      <c r="AC7" s="17">
        <f t="shared" si="18"/>
        <v>0.66865183552586271</v>
      </c>
      <c r="AD7" s="17">
        <v>0.53173700000000002</v>
      </c>
      <c r="AE7" s="17">
        <v>0.92910000000000004</v>
      </c>
      <c r="AF7" s="17">
        <f t="shared" si="6"/>
        <v>0.67637504622350064</v>
      </c>
      <c r="AG7" s="17">
        <v>0.52849999999999997</v>
      </c>
      <c r="AH7" s="17">
        <v>0.92379999999999995</v>
      </c>
      <c r="AI7" s="17">
        <f t="shared" si="7"/>
        <v>0.67235185567720168</v>
      </c>
      <c r="AJ7" s="15">
        <f t="shared" si="19"/>
        <v>0.51255925000000002</v>
      </c>
      <c r="AK7" s="15">
        <f t="shared" si="20"/>
        <v>0.92779999999999996</v>
      </c>
      <c r="AL7" s="15">
        <f t="shared" si="21"/>
        <v>0.65992016416185462</v>
      </c>
      <c r="AM7" s="15">
        <f t="shared" si="22"/>
        <v>-3.9074999999999527E-4</v>
      </c>
      <c r="AN7" s="15">
        <f t="shared" si="9"/>
        <v>-3.7500000000001421E-4</v>
      </c>
      <c r="AO7" s="15">
        <f t="shared" si="9"/>
        <v>-4.3689883186781575E-4</v>
      </c>
      <c r="AP7" s="10" t="s">
        <v>9</v>
      </c>
    </row>
    <row r="8" spans="1:42" s="12" customFormat="1" x14ac:dyDescent="0.3">
      <c r="A8" s="32" t="s">
        <v>24</v>
      </c>
      <c r="B8" s="18">
        <v>198709595</v>
      </c>
      <c r="C8" s="23">
        <f t="shared" si="10"/>
        <v>1.1332870274100928</v>
      </c>
      <c r="D8" s="17">
        <v>0.47860000000000003</v>
      </c>
      <c r="E8" s="17">
        <v>0.9365</v>
      </c>
      <c r="F8" s="17">
        <f t="shared" si="11"/>
        <v>0.63346604480248747</v>
      </c>
      <c r="G8" s="17">
        <v>0.53690000000000004</v>
      </c>
      <c r="H8" s="17">
        <v>0.9385</v>
      </c>
      <c r="I8" s="17">
        <f t="shared" si="0"/>
        <v>0.68304276806289821</v>
      </c>
      <c r="J8" s="17">
        <v>0.54849999999999999</v>
      </c>
      <c r="K8" s="17">
        <v>0.9375</v>
      </c>
      <c r="L8" s="17">
        <f t="shared" si="1"/>
        <v>0.6920844549125168</v>
      </c>
      <c r="M8" s="17">
        <v>0.55169999999999997</v>
      </c>
      <c r="N8" s="17">
        <v>0.93559999999999999</v>
      </c>
      <c r="O8" s="17">
        <f t="shared" si="2"/>
        <v>0.69410410811537693</v>
      </c>
      <c r="P8" s="15">
        <f t="shared" si="12"/>
        <v>0.52892499999999998</v>
      </c>
      <c r="Q8" s="15">
        <f t="shared" si="3"/>
        <v>0.937025</v>
      </c>
      <c r="R8" s="15">
        <f t="shared" si="13"/>
        <v>0.67567434397331982</v>
      </c>
      <c r="S8" s="15">
        <f t="shared" si="14"/>
        <v>-3.4500000000000641E-3</v>
      </c>
      <c r="T8" s="15">
        <f t="shared" si="15"/>
        <v>-1.5249999999999986E-3</v>
      </c>
      <c r="U8" s="15">
        <f t="shared" si="4"/>
        <v>-3.2203319661733287E-3</v>
      </c>
      <c r="V8" s="18">
        <v>89402714</v>
      </c>
      <c r="W8" s="23">
        <f t="shared" si="16"/>
        <v>1.1484857985154053</v>
      </c>
      <c r="X8" s="17">
        <v>0.4677</v>
      </c>
      <c r="Y8" s="17">
        <v>0.92579999999999996</v>
      </c>
      <c r="Z8" s="17">
        <f t="shared" si="17"/>
        <v>0.62145196986006457</v>
      </c>
      <c r="AA8" s="17">
        <v>0.51759999999999995</v>
      </c>
      <c r="AB8" s="17">
        <v>0.92769999999999997</v>
      </c>
      <c r="AC8" s="17">
        <f t="shared" si="18"/>
        <v>0.66446761226043027</v>
      </c>
      <c r="AD8" s="17">
        <v>0.52669999999999995</v>
      </c>
      <c r="AE8" s="17">
        <v>0.92610000000000003</v>
      </c>
      <c r="AF8" s="17">
        <f t="shared" si="6"/>
        <v>0.67149899504405286</v>
      </c>
      <c r="AG8" s="17">
        <v>0.52849999999999997</v>
      </c>
      <c r="AH8" s="17">
        <v>0.92379999999999995</v>
      </c>
      <c r="AI8" s="17">
        <f t="shared" si="7"/>
        <v>0.67235185567720168</v>
      </c>
      <c r="AJ8" s="15">
        <f t="shared" si="19"/>
        <v>0.51012499999999994</v>
      </c>
      <c r="AK8" s="15">
        <f t="shared" si="20"/>
        <v>0.92584999999999995</v>
      </c>
      <c r="AL8" s="15">
        <f t="shared" si="21"/>
        <v>0.65744260821043732</v>
      </c>
      <c r="AM8" s="15">
        <f t="shared" si="22"/>
        <v>-2.8250000000000774E-3</v>
      </c>
      <c r="AN8" s="15">
        <f t="shared" si="9"/>
        <v>-2.3250000000000215E-3</v>
      </c>
      <c r="AO8" s="15">
        <f t="shared" si="9"/>
        <v>-2.9144547832851142E-3</v>
      </c>
      <c r="AP8" s="10" t="s">
        <v>9</v>
      </c>
    </row>
    <row r="9" spans="1:42" s="12" customFormat="1" x14ac:dyDescent="0.3">
      <c r="A9" s="32" t="s">
        <v>25</v>
      </c>
      <c r="B9" s="18">
        <v>121742167</v>
      </c>
      <c r="C9" s="23">
        <f t="shared" si="10"/>
        <v>0.69432388783185373</v>
      </c>
      <c r="D9" s="17">
        <v>0.48499999999999999</v>
      </c>
      <c r="E9" s="17">
        <v>0.93640000000000001</v>
      </c>
      <c r="F9" s="17">
        <f t="shared" si="11"/>
        <v>0.63902349795975799</v>
      </c>
      <c r="G9" s="17">
        <v>0.53820000000000001</v>
      </c>
      <c r="H9" s="17">
        <v>0.93820000000000003</v>
      </c>
      <c r="I9" s="17">
        <f t="shared" si="0"/>
        <v>0.68401414250880521</v>
      </c>
      <c r="J9" s="17">
        <v>0.55049999999999999</v>
      </c>
      <c r="K9" s="17">
        <v>0.93779999999999997</v>
      </c>
      <c r="L9" s="17">
        <f t="shared" si="1"/>
        <v>0.69375650070550288</v>
      </c>
      <c r="M9" s="17">
        <v>0.55410000000000004</v>
      </c>
      <c r="N9" s="17">
        <v>0.93569999999999998</v>
      </c>
      <c r="O9" s="17">
        <f t="shared" si="2"/>
        <v>0.69602815142972208</v>
      </c>
      <c r="P9" s="15">
        <f t="shared" si="12"/>
        <v>0.53195000000000003</v>
      </c>
      <c r="Q9" s="15">
        <f t="shared" si="3"/>
        <v>0.937025</v>
      </c>
      <c r="R9" s="15">
        <f t="shared" si="13"/>
        <v>0.67820557315094709</v>
      </c>
      <c r="S9" s="15">
        <f t="shared" si="14"/>
        <v>-4.250000000000087E-4</v>
      </c>
      <c r="T9" s="15">
        <f t="shared" si="15"/>
        <v>-1.5249999999999986E-3</v>
      </c>
      <c r="U9" s="15">
        <f t="shared" si="4"/>
        <v>-6.8910278854605878E-4</v>
      </c>
      <c r="V9" s="18">
        <v>55420782</v>
      </c>
      <c r="W9" s="23">
        <f t="shared" si="16"/>
        <v>0.71194685509903199</v>
      </c>
      <c r="X9" s="17">
        <v>0.46379999999999999</v>
      </c>
      <c r="Y9" s="17">
        <v>0.92720000000000002</v>
      </c>
      <c r="Z9" s="17">
        <f t="shared" si="17"/>
        <v>0.61831108554996406</v>
      </c>
      <c r="AA9" s="17">
        <v>0.51939999999999997</v>
      </c>
      <c r="AB9" s="17">
        <v>0.92830000000000001</v>
      </c>
      <c r="AC9" s="17">
        <f t="shared" si="18"/>
        <v>0.66610350210679004</v>
      </c>
      <c r="AD9" s="17">
        <v>0.52990000000000004</v>
      </c>
      <c r="AE9" s="17">
        <v>0.92689999999999995</v>
      </c>
      <c r="AF9" s="17">
        <f t="shared" si="6"/>
        <v>0.67430575233388257</v>
      </c>
      <c r="AG9" s="17">
        <v>0.53239999999999998</v>
      </c>
      <c r="AH9" s="17">
        <v>0.92410000000000003</v>
      </c>
      <c r="AI9" s="17">
        <f t="shared" si="7"/>
        <v>0.67557959491932706</v>
      </c>
      <c r="AJ9" s="15">
        <f t="shared" si="19"/>
        <v>0.51137500000000002</v>
      </c>
      <c r="AK9" s="15">
        <f t="shared" si="20"/>
        <v>0.92662500000000003</v>
      </c>
      <c r="AL9" s="15">
        <f t="shared" si="21"/>
        <v>0.6585749837274909</v>
      </c>
      <c r="AM9" s="15">
        <f t="shared" si="22"/>
        <v>-1.5749999999999931E-3</v>
      </c>
      <c r="AN9" s="15">
        <f t="shared" si="9"/>
        <v>-1.5499999999999403E-3</v>
      </c>
      <c r="AO9" s="15">
        <f t="shared" si="9"/>
        <v>-1.7820792662315288E-3</v>
      </c>
      <c r="AP9" s="10" t="s">
        <v>9</v>
      </c>
    </row>
    <row r="10" spans="1:42" s="12" customFormat="1" x14ac:dyDescent="0.3">
      <c r="A10" s="32" t="s">
        <v>26</v>
      </c>
      <c r="B10" s="18">
        <v>60751253</v>
      </c>
      <c r="C10" s="23">
        <f t="shared" si="10"/>
        <v>0.34647852270952734</v>
      </c>
      <c r="D10" s="17">
        <v>0.48720000000000002</v>
      </c>
      <c r="E10" s="17">
        <v>0.93820000000000003</v>
      </c>
      <c r="F10" s="17">
        <f t="shared" si="11"/>
        <v>0.64135125578784913</v>
      </c>
      <c r="G10" s="17">
        <v>0.54490000000000005</v>
      </c>
      <c r="H10" s="17">
        <v>0.9395</v>
      </c>
      <c r="I10" s="17">
        <f t="shared" si="0"/>
        <v>0.6897514820803019</v>
      </c>
      <c r="J10" s="17">
        <v>0.55779999999999996</v>
      </c>
      <c r="K10" s="17">
        <v>0.93840000000000001</v>
      </c>
      <c r="L10" s="17">
        <f t="shared" si="1"/>
        <v>0.69969191284587617</v>
      </c>
      <c r="M10" s="17">
        <v>0.56120000000000003</v>
      </c>
      <c r="N10" s="17">
        <v>0.93589999999999995</v>
      </c>
      <c r="O10" s="17">
        <f t="shared" si="2"/>
        <v>0.70165931467503828</v>
      </c>
      <c r="P10" s="15">
        <f t="shared" si="12"/>
        <v>0.537775</v>
      </c>
      <c r="Q10" s="15">
        <f t="shared" si="3"/>
        <v>0.93799999999999994</v>
      </c>
      <c r="R10" s="15">
        <f t="shared" si="13"/>
        <v>0.6831134913472664</v>
      </c>
      <c r="S10" s="15">
        <f t="shared" si="14"/>
        <v>5.3999999999999604E-3</v>
      </c>
      <c r="T10" s="15">
        <f t="shared" si="15"/>
        <v>-5.5000000000005045E-4</v>
      </c>
      <c r="U10" s="15">
        <f t="shared" si="4"/>
        <v>4.2188154077732465E-3</v>
      </c>
      <c r="V10" s="18">
        <v>28272006</v>
      </c>
      <c r="W10" s="23">
        <f t="shared" si="16"/>
        <v>0.36318805027040152</v>
      </c>
      <c r="X10" s="17">
        <v>0.47310000000000002</v>
      </c>
      <c r="Y10" s="17">
        <v>0.92730000000000001</v>
      </c>
      <c r="Z10" s="17">
        <f t="shared" si="17"/>
        <v>0.62654331619537273</v>
      </c>
      <c r="AA10" s="17">
        <v>0.52500000000000002</v>
      </c>
      <c r="AB10" s="17">
        <v>0.92859999999999998</v>
      </c>
      <c r="AC10" s="17">
        <f t="shared" si="18"/>
        <v>0.67076912493120533</v>
      </c>
      <c r="AD10" s="17">
        <v>0.53580000000000005</v>
      </c>
      <c r="AE10" s="17">
        <v>0.92700000000000005</v>
      </c>
      <c r="AF10" s="17">
        <f t="shared" si="6"/>
        <v>0.67909023789991807</v>
      </c>
      <c r="AG10" s="17">
        <v>0.53790000000000004</v>
      </c>
      <c r="AH10" s="17">
        <v>0.92410000000000003</v>
      </c>
      <c r="AI10" s="17">
        <f t="shared" si="7"/>
        <v>0.6799909575923393</v>
      </c>
      <c r="AJ10" s="15">
        <f t="shared" si="19"/>
        <v>0.51795000000000002</v>
      </c>
      <c r="AK10" s="15">
        <f t="shared" si="20"/>
        <v>0.92675000000000007</v>
      </c>
      <c r="AL10" s="15">
        <f t="shared" si="21"/>
        <v>0.66409840915470886</v>
      </c>
      <c r="AM10" s="15">
        <f t="shared" si="22"/>
        <v>5.0000000000000044E-3</v>
      </c>
      <c r="AN10" s="15">
        <f t="shared" si="9"/>
        <v>-1.4249999999998986E-3</v>
      </c>
      <c r="AO10" s="15">
        <f t="shared" si="9"/>
        <v>3.7413461609864251E-3</v>
      </c>
      <c r="AP10" s="10" t="s">
        <v>9</v>
      </c>
    </row>
    <row r="11" spans="1:42" x14ac:dyDescent="0.3">
      <c r="A11" s="32" t="s">
        <v>76</v>
      </c>
      <c r="B11" s="18"/>
      <c r="C11" s="23">
        <f t="shared" si="10"/>
        <v>0</v>
      </c>
      <c r="D11" s="17"/>
      <c r="E11" s="17"/>
      <c r="F11" s="17" t="e">
        <f t="shared" si="11"/>
        <v>#DIV/0!</v>
      </c>
      <c r="G11" s="17"/>
      <c r="H11" s="17"/>
      <c r="I11" s="17" t="e">
        <f t="shared" si="0"/>
        <v>#DIV/0!</v>
      </c>
      <c r="J11" s="17"/>
      <c r="K11" s="17"/>
      <c r="L11" s="17" t="e">
        <f t="shared" si="1"/>
        <v>#DIV/0!</v>
      </c>
      <c r="M11" s="17"/>
      <c r="N11" s="17"/>
      <c r="O11" s="17" t="e">
        <f t="shared" si="2"/>
        <v>#DIV/0!</v>
      </c>
      <c r="P11" s="15">
        <f>(D11+G11+J11+M11)/4</f>
        <v>0</v>
      </c>
      <c r="Q11" s="15">
        <f t="shared" si="3"/>
        <v>0</v>
      </c>
      <c r="R11" s="15" t="e">
        <f t="shared" si="13"/>
        <v>#DIV/0!</v>
      </c>
      <c r="S11" s="15">
        <f>P11-P$5</f>
        <v>-0.53237500000000004</v>
      </c>
      <c r="T11" s="15">
        <f t="shared" si="15"/>
        <v>-0.93855</v>
      </c>
      <c r="U11" s="15" t="e">
        <f t="shared" si="4"/>
        <v>#DIV/0!</v>
      </c>
      <c r="V11" s="18"/>
      <c r="W11" s="23">
        <f t="shared" si="16"/>
        <v>0</v>
      </c>
      <c r="X11" s="17"/>
      <c r="Y11" s="17"/>
      <c r="Z11" s="17" t="e">
        <f t="shared" si="17"/>
        <v>#DIV/0!</v>
      </c>
      <c r="AA11" s="17"/>
      <c r="AB11" s="17"/>
      <c r="AC11" s="17" t="e">
        <f>2*((AA11*AB11)/(AA11+AB11))</f>
        <v>#DIV/0!</v>
      </c>
      <c r="AD11" s="17"/>
      <c r="AE11" s="17"/>
      <c r="AF11" s="17" t="e">
        <f t="shared" si="6"/>
        <v>#DIV/0!</v>
      </c>
      <c r="AG11" s="17"/>
      <c r="AH11" s="17"/>
      <c r="AI11" s="17" t="e">
        <f t="shared" si="7"/>
        <v>#DIV/0!</v>
      </c>
      <c r="AJ11" s="15">
        <f t="shared" si="19"/>
        <v>0</v>
      </c>
      <c r="AK11" s="15">
        <f t="shared" si="20"/>
        <v>0</v>
      </c>
      <c r="AL11" s="15" t="e">
        <f t="shared" si="21"/>
        <v>#DIV/0!</v>
      </c>
      <c r="AM11" s="15">
        <f t="shared" si="22"/>
        <v>-0.51295000000000002</v>
      </c>
      <c r="AN11" s="15">
        <f t="shared" si="9"/>
        <v>-0.92817499999999997</v>
      </c>
      <c r="AO11" s="15" t="e">
        <f t="shared" si="9"/>
        <v>#DIV/0!</v>
      </c>
      <c r="AP11" s="10" t="s">
        <v>77</v>
      </c>
    </row>
    <row r="12" spans="1:42" s="12" customFormat="1" x14ac:dyDescent="0.3">
      <c r="A12" s="33" t="s">
        <v>47</v>
      </c>
      <c r="B12" s="34">
        <v>642683176</v>
      </c>
      <c r="C12" s="23">
        <f t="shared" si="10"/>
        <v>3.6653715996729672</v>
      </c>
      <c r="D12" s="17">
        <v>0.48549999999999999</v>
      </c>
      <c r="E12" s="17">
        <v>0.93810000000000004</v>
      </c>
      <c r="F12" s="17">
        <f t="shared" si="11"/>
        <v>0.63985325934251203</v>
      </c>
      <c r="G12" s="17">
        <v>0.54049999999999998</v>
      </c>
      <c r="H12" s="17">
        <v>0.94020000000000004</v>
      </c>
      <c r="I12" s="17">
        <f t="shared" si="0"/>
        <v>0.68640251232525151</v>
      </c>
      <c r="J12" s="17">
        <v>0.55259999999999998</v>
      </c>
      <c r="K12" s="17">
        <v>0.94</v>
      </c>
      <c r="L12" s="17">
        <f t="shared" si="1"/>
        <v>0.69602572691946929</v>
      </c>
      <c r="M12" s="17">
        <v>0.55640000000000001</v>
      </c>
      <c r="N12" s="17">
        <v>0.9375</v>
      </c>
      <c r="O12" s="17">
        <f t="shared" si="2"/>
        <v>0.69833991565700515</v>
      </c>
      <c r="P12" s="15">
        <f t="shared" si="12"/>
        <v>0.53374999999999995</v>
      </c>
      <c r="Q12" s="15">
        <f t="shared" si="3"/>
        <v>0.93894999999999995</v>
      </c>
      <c r="R12" s="15">
        <f t="shared" si="13"/>
        <v>0.68015535356105949</v>
      </c>
      <c r="S12" s="15">
        <f t="shared" si="14"/>
        <v>1.3749999999999041E-3</v>
      </c>
      <c r="T12" s="15">
        <f t="shared" si="15"/>
        <v>3.9999999999995595E-4</v>
      </c>
      <c r="U12" s="15">
        <f t="shared" si="4"/>
        <v>1.2606776215663418E-3</v>
      </c>
      <c r="V12" s="34">
        <v>286005859</v>
      </c>
      <c r="W12" s="23">
        <f t="shared" si="16"/>
        <v>3.6740905578515144</v>
      </c>
      <c r="X12" s="17">
        <v>0.47060000000000002</v>
      </c>
      <c r="Y12" s="17">
        <v>0.92859999999999998</v>
      </c>
      <c r="Z12" s="17">
        <f t="shared" si="17"/>
        <v>0.62464145225843337</v>
      </c>
      <c r="AA12" s="17">
        <v>0.52290000000000003</v>
      </c>
      <c r="AB12" s="17">
        <v>0.93</v>
      </c>
      <c r="AC12" s="17">
        <f t="shared" ref="AC12:AC14" si="23">2*((AA12*AB12)/(AA12+AB12))</f>
        <v>0.66941565145570925</v>
      </c>
      <c r="AD12" s="17">
        <v>0.53159999999999996</v>
      </c>
      <c r="AE12" s="17">
        <v>0.92889999999999995</v>
      </c>
      <c r="AF12" s="17">
        <f t="shared" si="6"/>
        <v>0.67621121533721318</v>
      </c>
      <c r="AG12" s="17">
        <v>0.53369999999999995</v>
      </c>
      <c r="AH12" s="17">
        <v>0.92679999999999996</v>
      </c>
      <c r="AI12" s="17">
        <f t="shared" si="7"/>
        <v>0.67734770284149259</v>
      </c>
      <c r="AJ12" s="15">
        <f t="shared" si="19"/>
        <v>0.51470000000000005</v>
      </c>
      <c r="AK12" s="15">
        <f t="shared" si="20"/>
        <v>0.92857500000000004</v>
      </c>
      <c r="AL12" s="15">
        <f t="shared" si="21"/>
        <v>0.66190400547321215</v>
      </c>
      <c r="AM12" s="15">
        <f t="shared" si="22"/>
        <v>1.7500000000000293E-3</v>
      </c>
      <c r="AN12" s="15">
        <f t="shared" si="9"/>
        <v>4.0000000000006697E-4</v>
      </c>
      <c r="AO12" s="15">
        <f t="shared" si="9"/>
        <v>1.5469424794897213E-3</v>
      </c>
      <c r="AP12" s="10" t="s">
        <v>9</v>
      </c>
    </row>
    <row r="13" spans="1:42" s="12" customFormat="1" x14ac:dyDescent="0.3">
      <c r="A13" s="33" t="s">
        <v>48</v>
      </c>
      <c r="B13" s="34">
        <v>570828844</v>
      </c>
      <c r="C13" s="23">
        <f t="shared" si="10"/>
        <v>3.2555696355613808</v>
      </c>
      <c r="D13" s="17">
        <v>0.49220000000000003</v>
      </c>
      <c r="E13" s="17">
        <v>0.94020000000000004</v>
      </c>
      <c r="F13" s="17">
        <f t="shared" si="11"/>
        <v>0.64614135716280374</v>
      </c>
      <c r="G13" s="17">
        <v>0.54779999999999995</v>
      </c>
      <c r="H13" s="17">
        <v>0.94210000000000005</v>
      </c>
      <c r="I13" s="17">
        <f t="shared" si="0"/>
        <v>0.69277452177998522</v>
      </c>
      <c r="J13" s="17">
        <v>0.56000000000000005</v>
      </c>
      <c r="K13" s="17">
        <v>0.94159999999999999</v>
      </c>
      <c r="L13" s="17">
        <f t="shared" si="1"/>
        <v>0.70231220031965913</v>
      </c>
      <c r="M13" s="17">
        <v>0.56379999999999997</v>
      </c>
      <c r="N13" s="17">
        <v>0.93920000000000003</v>
      </c>
      <c r="O13" s="17">
        <f t="shared" si="2"/>
        <v>0.70461870924817027</v>
      </c>
      <c r="P13" s="15">
        <f t="shared" si="12"/>
        <v>0.54095000000000004</v>
      </c>
      <c r="Q13" s="15">
        <f t="shared" si="3"/>
        <v>0.94077500000000003</v>
      </c>
      <c r="R13" s="15">
        <f t="shared" si="13"/>
        <v>0.68646169712765459</v>
      </c>
      <c r="S13" s="15">
        <f t="shared" si="14"/>
        <v>8.5749999999999993E-3</v>
      </c>
      <c r="T13" s="15">
        <f t="shared" si="15"/>
        <v>2.2250000000000325E-3</v>
      </c>
      <c r="U13" s="15">
        <f t="shared" si="4"/>
        <v>7.567021188161438E-3</v>
      </c>
      <c r="V13" s="34">
        <v>254275065</v>
      </c>
      <c r="W13" s="23">
        <f t="shared" si="16"/>
        <v>3.2664701998765002</v>
      </c>
      <c r="X13" s="17" t="s">
        <v>9</v>
      </c>
      <c r="Y13" s="17" t="s">
        <v>9</v>
      </c>
      <c r="Z13" s="17" t="s">
        <v>9</v>
      </c>
      <c r="AA13" s="17" t="s">
        <v>9</v>
      </c>
      <c r="AB13" s="17" t="s">
        <v>9</v>
      </c>
      <c r="AC13" s="17" t="s">
        <v>9</v>
      </c>
      <c r="AD13" s="17" t="s">
        <v>9</v>
      </c>
      <c r="AE13" s="17" t="s">
        <v>9</v>
      </c>
      <c r="AF13" s="17" t="s">
        <v>9</v>
      </c>
      <c r="AG13" s="17" t="s">
        <v>9</v>
      </c>
      <c r="AH13" s="17" t="s">
        <v>9</v>
      </c>
      <c r="AI13" s="17" t="s">
        <v>9</v>
      </c>
      <c r="AJ13" s="17" t="s">
        <v>9</v>
      </c>
      <c r="AK13" s="17" t="s">
        <v>9</v>
      </c>
      <c r="AL13" s="17" t="s">
        <v>9</v>
      </c>
      <c r="AM13" s="17" t="s">
        <v>9</v>
      </c>
      <c r="AN13" s="17" t="s">
        <v>9</v>
      </c>
      <c r="AO13" s="17" t="s">
        <v>9</v>
      </c>
      <c r="AP13" s="10" t="s">
        <v>64</v>
      </c>
    </row>
    <row r="14" spans="1:42" x14ac:dyDescent="0.3">
      <c r="A14" s="32" t="s">
        <v>49</v>
      </c>
      <c r="B14" s="18">
        <v>247127738</v>
      </c>
      <c r="C14" s="23">
        <f t="shared" si="10"/>
        <v>1.4094269558981296</v>
      </c>
      <c r="D14" s="17">
        <v>0.50829999999999997</v>
      </c>
      <c r="E14" s="17">
        <v>0.93320000000000003</v>
      </c>
      <c r="F14" s="17">
        <f t="shared" si="11"/>
        <v>0.65812772806104747</v>
      </c>
      <c r="G14" s="17">
        <v>0.56559999999999999</v>
      </c>
      <c r="H14" s="17">
        <v>0.93320000000000003</v>
      </c>
      <c r="I14" s="17">
        <f t="shared" si="0"/>
        <v>0.70432068321323726</v>
      </c>
      <c r="J14" s="17">
        <v>0.57489999999999997</v>
      </c>
      <c r="K14" s="17">
        <v>0.93269999999999997</v>
      </c>
      <c r="L14" s="17">
        <f t="shared" si="1"/>
        <v>0.71134150968426635</v>
      </c>
      <c r="M14" s="17">
        <v>0.57909999999999995</v>
      </c>
      <c r="N14" s="17">
        <v>0.92969999999999997</v>
      </c>
      <c r="O14" s="17">
        <f t="shared" si="2"/>
        <v>0.71366552226935309</v>
      </c>
      <c r="P14" s="15">
        <f t="shared" si="12"/>
        <v>0.556975</v>
      </c>
      <c r="Q14" s="15">
        <f t="shared" si="3"/>
        <v>0.93220000000000003</v>
      </c>
      <c r="R14" s="15">
        <f t="shared" si="13"/>
        <v>0.69686386080697593</v>
      </c>
      <c r="S14" s="15">
        <f t="shared" si="14"/>
        <v>2.4599999999999955E-2</v>
      </c>
      <c r="T14" s="15">
        <f t="shared" si="15"/>
        <v>-6.3499999999999668E-3</v>
      </c>
      <c r="U14" s="15">
        <f t="shared" si="4"/>
        <v>1.7969184867482779E-2</v>
      </c>
      <c r="V14" s="18">
        <v>108111613</v>
      </c>
      <c r="W14" s="23">
        <f t="shared" si="16"/>
        <v>1.3888241936938679</v>
      </c>
      <c r="X14" s="17">
        <v>0.48770000000000002</v>
      </c>
      <c r="Y14" s="17">
        <v>0.92430000000000001</v>
      </c>
      <c r="Z14" s="17">
        <f t="shared" si="17"/>
        <v>0.63850015580736552</v>
      </c>
      <c r="AA14" s="17">
        <v>0.54269999999999996</v>
      </c>
      <c r="AB14" s="17">
        <v>0.92430000000000001</v>
      </c>
      <c r="AC14" s="17">
        <f t="shared" si="23"/>
        <v>0.68386858895705505</v>
      </c>
      <c r="AD14" s="17">
        <v>0.55210000000000004</v>
      </c>
      <c r="AE14" s="17">
        <v>0.92310000000000003</v>
      </c>
      <c r="AF14" s="17">
        <f t="shared" si="6"/>
        <v>0.69094835954446865</v>
      </c>
      <c r="AG14" s="17">
        <v>0.55400000000000005</v>
      </c>
      <c r="AH14" s="17">
        <v>0.91959999999999997</v>
      </c>
      <c r="AI14" s="17">
        <f t="shared" si="7"/>
        <v>0.69144733984799123</v>
      </c>
      <c r="AJ14" s="15">
        <f t="shared" si="19"/>
        <v>0.53412499999999996</v>
      </c>
      <c r="AK14" s="15">
        <f t="shared" si="20"/>
        <v>0.92282500000000001</v>
      </c>
      <c r="AL14" s="15">
        <f t="shared" si="21"/>
        <v>0.67619111103922014</v>
      </c>
      <c r="AM14" s="15">
        <f t="shared" si="22"/>
        <v>2.1174999999999944E-2</v>
      </c>
      <c r="AN14" s="15">
        <f t="shared" si="9"/>
        <v>-5.3499999999999659E-3</v>
      </c>
      <c r="AO14" s="15">
        <f t="shared" si="9"/>
        <v>1.5834048045497706E-2</v>
      </c>
      <c r="AP14" s="10" t="s">
        <v>9</v>
      </c>
    </row>
    <row r="15" spans="1:42" ht="36" customHeight="1" x14ac:dyDescent="0.3">
      <c r="A15" s="35"/>
      <c r="B15" s="36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8"/>
    </row>
    <row r="16" spans="1:42" ht="18" x14ac:dyDescent="0.35">
      <c r="A16" s="46" t="s">
        <v>60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</row>
    <row r="17" spans="1:42" x14ac:dyDescent="0.3">
      <c r="A17" s="49"/>
      <c r="B17" s="60" t="s">
        <v>15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2"/>
      <c r="V17" s="60" t="s">
        <v>14</v>
      </c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2"/>
      <c r="AP17" s="50" t="s">
        <v>65</v>
      </c>
    </row>
    <row r="18" spans="1:42" x14ac:dyDescent="0.3">
      <c r="A18" s="49"/>
      <c r="B18" s="50" t="s">
        <v>8</v>
      </c>
      <c r="C18" s="55" t="s">
        <v>46</v>
      </c>
      <c r="D18" s="51" t="s">
        <v>13</v>
      </c>
      <c r="E18" s="51"/>
      <c r="F18" s="51"/>
      <c r="G18" s="51" t="s">
        <v>10</v>
      </c>
      <c r="H18" s="51"/>
      <c r="I18" s="51"/>
      <c r="J18" s="51" t="s">
        <v>11</v>
      </c>
      <c r="K18" s="51"/>
      <c r="L18" s="51"/>
      <c r="M18" s="51" t="s">
        <v>12</v>
      </c>
      <c r="N18" s="51"/>
      <c r="O18" s="51"/>
      <c r="P18" s="57" t="s">
        <v>70</v>
      </c>
      <c r="Q18" s="58"/>
      <c r="R18" s="59"/>
      <c r="S18" s="57" t="s">
        <v>72</v>
      </c>
      <c r="T18" s="58"/>
      <c r="U18" s="59"/>
      <c r="V18" s="50" t="s">
        <v>8</v>
      </c>
      <c r="W18" s="55" t="s">
        <v>46</v>
      </c>
      <c r="X18" s="51" t="s">
        <v>13</v>
      </c>
      <c r="Y18" s="51"/>
      <c r="Z18" s="51"/>
      <c r="AA18" s="51" t="s">
        <v>10</v>
      </c>
      <c r="AB18" s="51"/>
      <c r="AC18" s="51"/>
      <c r="AD18" s="51" t="s">
        <v>11</v>
      </c>
      <c r="AE18" s="51"/>
      <c r="AF18" s="51"/>
      <c r="AG18" s="51" t="s">
        <v>12</v>
      </c>
      <c r="AH18" s="51"/>
      <c r="AI18" s="51"/>
      <c r="AJ18" s="57" t="s">
        <v>70</v>
      </c>
      <c r="AK18" s="58"/>
      <c r="AL18" s="59"/>
      <c r="AM18" s="57" t="s">
        <v>72</v>
      </c>
      <c r="AN18" s="58"/>
      <c r="AO18" s="59"/>
      <c r="AP18" s="50"/>
    </row>
    <row r="19" spans="1:42" x14ac:dyDescent="0.3">
      <c r="A19" s="49"/>
      <c r="B19" s="50"/>
      <c r="C19" s="56"/>
      <c r="D19" s="39" t="s">
        <v>75</v>
      </c>
      <c r="E19" s="39" t="s">
        <v>2</v>
      </c>
      <c r="F19" s="39" t="s">
        <v>3</v>
      </c>
      <c r="G19" s="39" t="s">
        <v>75</v>
      </c>
      <c r="H19" s="39" t="s">
        <v>2</v>
      </c>
      <c r="I19" s="39" t="s">
        <v>3</v>
      </c>
      <c r="J19" s="39" t="s">
        <v>75</v>
      </c>
      <c r="K19" s="39" t="s">
        <v>2</v>
      </c>
      <c r="L19" s="39" t="s">
        <v>3</v>
      </c>
      <c r="M19" s="39" t="s">
        <v>75</v>
      </c>
      <c r="N19" s="39" t="s">
        <v>2</v>
      </c>
      <c r="O19" s="39" t="s">
        <v>3</v>
      </c>
      <c r="P19" s="40" t="s">
        <v>75</v>
      </c>
      <c r="Q19" s="40" t="s">
        <v>2</v>
      </c>
      <c r="R19" s="40" t="s">
        <v>3</v>
      </c>
      <c r="S19" s="40" t="s">
        <v>75</v>
      </c>
      <c r="T19" s="40" t="s">
        <v>2</v>
      </c>
      <c r="U19" s="40" t="s">
        <v>3</v>
      </c>
      <c r="V19" s="50"/>
      <c r="W19" s="56"/>
      <c r="X19" s="39" t="s">
        <v>75</v>
      </c>
      <c r="Y19" s="39" t="s">
        <v>2</v>
      </c>
      <c r="Z19" s="39" t="s">
        <v>3</v>
      </c>
      <c r="AA19" s="39" t="s">
        <v>75</v>
      </c>
      <c r="AB19" s="39" t="s">
        <v>2</v>
      </c>
      <c r="AC19" s="39" t="s">
        <v>3</v>
      </c>
      <c r="AD19" s="39" t="s">
        <v>75</v>
      </c>
      <c r="AE19" s="39" t="s">
        <v>2</v>
      </c>
      <c r="AF19" s="39" t="s">
        <v>3</v>
      </c>
      <c r="AG19" s="39" t="s">
        <v>75</v>
      </c>
      <c r="AH19" s="39" t="s">
        <v>2</v>
      </c>
      <c r="AI19" s="39" t="s">
        <v>3</v>
      </c>
      <c r="AJ19" s="40" t="s">
        <v>75</v>
      </c>
      <c r="AK19" s="40" t="s">
        <v>2</v>
      </c>
      <c r="AL19" s="40" t="s">
        <v>3</v>
      </c>
      <c r="AM19" s="40" t="s">
        <v>75</v>
      </c>
      <c r="AN19" s="40" t="s">
        <v>2</v>
      </c>
      <c r="AO19" s="40" t="s">
        <v>3</v>
      </c>
      <c r="AP19" s="50"/>
    </row>
    <row r="20" spans="1:42" x14ac:dyDescent="0.3">
      <c r="A20" s="32" t="s">
        <v>0</v>
      </c>
      <c r="B20" s="18">
        <v>6696582269</v>
      </c>
      <c r="C20" s="23">
        <f>(B20/$B$20)*8</f>
        <v>8</v>
      </c>
      <c r="D20" s="17">
        <v>0.7853</v>
      </c>
      <c r="E20" s="17">
        <v>0.99990000000000001</v>
      </c>
      <c r="F20" s="17">
        <f t="shared" ref="F20:F29" si="24">2*((D20*E20)/(D20+E20))</f>
        <v>0.87970140040331612</v>
      </c>
      <c r="G20" s="10">
        <v>0.93669999999999998</v>
      </c>
      <c r="H20" s="10">
        <v>0.99970000000000003</v>
      </c>
      <c r="I20" s="17">
        <f t="shared" ref="I20:I29" si="25">2*((G20*H20)/(G20+H20))</f>
        <v>0.96717516009089044</v>
      </c>
      <c r="J20" s="17">
        <v>0.97199999999999998</v>
      </c>
      <c r="K20" s="17">
        <v>0.999</v>
      </c>
      <c r="L20" s="17">
        <f t="shared" ref="L20:L29" si="26">2*((J20*K20)/(J20+K20))</f>
        <v>0.98531506849315065</v>
      </c>
      <c r="M20" s="17">
        <v>0.98609999999999998</v>
      </c>
      <c r="N20" s="17">
        <v>0.99729999999999996</v>
      </c>
      <c r="O20" s="17">
        <f t="shared" ref="O20:O29" si="27">2*((M20*N20)/(M20+N20))</f>
        <v>0.9916683775335281</v>
      </c>
      <c r="P20" s="15">
        <f>(D20+G20+J20+M20)/4</f>
        <v>0.92002499999999998</v>
      </c>
      <c r="Q20" s="15">
        <f t="shared" ref="Q20:R20" si="28">(E20+H20+K20+N20)/4</f>
        <v>0.99897500000000006</v>
      </c>
      <c r="R20" s="15">
        <f t="shared" si="28"/>
        <v>0.95596500163022136</v>
      </c>
      <c r="S20" s="15">
        <f>P20-P$20</f>
        <v>0</v>
      </c>
      <c r="T20" s="15">
        <f t="shared" ref="T20:U29" si="29">Q20-Q$20</f>
        <v>0</v>
      </c>
      <c r="U20" s="15">
        <f t="shared" si="29"/>
        <v>0</v>
      </c>
      <c r="V20" s="18">
        <v>3017194085</v>
      </c>
      <c r="W20" s="23">
        <f>(V20/$V$20)*8</f>
        <v>8</v>
      </c>
      <c r="X20" s="17">
        <v>0.80300000000000005</v>
      </c>
      <c r="Y20" s="17">
        <v>0.99990000000000001</v>
      </c>
      <c r="Z20" s="17">
        <f t="shared" ref="Z20:Z29" si="30">2*((X20*Y20)/(X20+Y20))</f>
        <v>0.89069798657718113</v>
      </c>
      <c r="AA20" s="10">
        <v>0.93730000000000002</v>
      </c>
      <c r="AB20" s="10">
        <v>0.99980000000000002</v>
      </c>
      <c r="AC20" s="17">
        <f t="shared" ref="AC20:AC29" si="31">2*((AA20*AB20)/(AA20+AB20))</f>
        <v>0.96754172732435084</v>
      </c>
      <c r="AD20" s="17">
        <v>0.98240000000000005</v>
      </c>
      <c r="AE20" s="17">
        <v>0.99870000000000003</v>
      </c>
      <c r="AF20" s="17">
        <f t="shared" ref="AF20:AF29" si="32">2*((AD20*AE20)/(AD20+AE20))</f>
        <v>0.99048294381909041</v>
      </c>
      <c r="AG20" s="17">
        <v>0.99199999999999999</v>
      </c>
      <c r="AH20" s="17">
        <v>0.99739999999999995</v>
      </c>
      <c r="AI20" s="17">
        <f t="shared" ref="AI20:AI29" si="33">2*((AG20*AH20)/(AG20+AH20))</f>
        <v>0.99469267115713289</v>
      </c>
      <c r="AJ20" s="15">
        <f>(X20+AA20+AD20+AG20)/4</f>
        <v>0.92867500000000003</v>
      </c>
      <c r="AK20" s="15">
        <f t="shared" ref="AK20:AL20" si="34">(Y20+AB20+AE20+AH20)/4</f>
        <v>0.99895</v>
      </c>
      <c r="AL20" s="15">
        <f t="shared" si="34"/>
        <v>0.96085383221943887</v>
      </c>
      <c r="AM20" s="15">
        <f>AJ20-AJ$20</f>
        <v>0</v>
      </c>
      <c r="AN20" s="15">
        <f t="shared" ref="AN20:AO20" si="35">AK20-AK$20</f>
        <v>0</v>
      </c>
      <c r="AO20" s="15">
        <f t="shared" si="35"/>
        <v>0</v>
      </c>
      <c r="AP20" s="10" t="s">
        <v>9</v>
      </c>
    </row>
    <row r="21" spans="1:42" s="12" customFormat="1" x14ac:dyDescent="0.3">
      <c r="A21" s="32" t="s">
        <v>22</v>
      </c>
      <c r="B21" s="18">
        <v>814504450</v>
      </c>
      <c r="C21" s="23">
        <f t="shared" ref="C21:C29" si="36">(B21/$B$20)*8</f>
        <v>0.97303898290986557</v>
      </c>
      <c r="D21" s="17">
        <v>0.80349999999999999</v>
      </c>
      <c r="E21" s="17">
        <v>0.99983100000000003</v>
      </c>
      <c r="F21" s="17">
        <f t="shared" si="24"/>
        <v>0.89097809387184046</v>
      </c>
      <c r="G21" s="17">
        <v>0.93610000000000004</v>
      </c>
      <c r="H21" s="17">
        <v>0.99958100000000005</v>
      </c>
      <c r="I21" s="17">
        <f t="shared" si="25"/>
        <v>0.96679956470100181</v>
      </c>
      <c r="J21" s="17">
        <v>0.96909999999999996</v>
      </c>
      <c r="K21" s="17">
        <v>0.99919999999999998</v>
      </c>
      <c r="L21" s="17">
        <f t="shared" si="26"/>
        <v>0.98391984961642021</v>
      </c>
      <c r="M21" s="17">
        <v>0.98609999999999998</v>
      </c>
      <c r="N21" s="17">
        <v>0.997228</v>
      </c>
      <c r="O21" s="17">
        <f t="shared" si="27"/>
        <v>0.99163278166798441</v>
      </c>
      <c r="P21" s="15">
        <f t="shared" ref="P21:P29" si="37">(D21+G21+J21+M21)/4</f>
        <v>0.92369999999999997</v>
      </c>
      <c r="Q21" s="15">
        <f t="shared" ref="Q21:Q29" si="38">(E21+H21+K21+N21)/4</f>
        <v>0.99896000000000007</v>
      </c>
      <c r="R21" s="15">
        <f t="shared" ref="R21:R29" si="39">(F21+I21+L21+O21)/4</f>
        <v>0.95833257246431169</v>
      </c>
      <c r="S21" s="15">
        <f t="shared" ref="S21:S29" si="40">P21-P$20</f>
        <v>3.6749999999999838E-3</v>
      </c>
      <c r="T21" s="15">
        <f t="shared" si="29"/>
        <v>-1.4999999999987246E-5</v>
      </c>
      <c r="U21" s="15">
        <f t="shared" si="29"/>
        <v>2.3675708340903379E-3</v>
      </c>
      <c r="V21" s="18">
        <v>383733965</v>
      </c>
      <c r="W21" s="23">
        <f t="shared" ref="W21:W29" si="41">(V21/$V$20)*8</f>
        <v>1.0174591469809275</v>
      </c>
      <c r="X21" s="17">
        <v>0.80659999999999998</v>
      </c>
      <c r="Y21" s="17">
        <v>0.99980000000000002</v>
      </c>
      <c r="Z21" s="17">
        <f t="shared" si="30"/>
        <v>0.89286833480956596</v>
      </c>
      <c r="AA21" s="17">
        <v>0.94769999999999999</v>
      </c>
      <c r="AB21" s="17">
        <v>0.99960000000000004</v>
      </c>
      <c r="AC21" s="17">
        <f t="shared" si="31"/>
        <v>0.97295837313202893</v>
      </c>
      <c r="AD21" s="17">
        <v>0.98570000000000002</v>
      </c>
      <c r="AE21" s="17">
        <v>0.99850000000000005</v>
      </c>
      <c r="AF21" s="17">
        <f t="shared" si="32"/>
        <v>0.99205871383933075</v>
      </c>
      <c r="AG21" s="17">
        <v>0.9919</v>
      </c>
      <c r="AH21" s="17">
        <v>0.99719999999999998</v>
      </c>
      <c r="AI21" s="17">
        <f t="shared" si="33"/>
        <v>0.99454293901764612</v>
      </c>
      <c r="AJ21" s="15">
        <f t="shared" ref="AJ21:AJ29" si="42">(X21+AA21+AD21+AG21)/4</f>
        <v>0.93297500000000011</v>
      </c>
      <c r="AK21" s="15">
        <f t="shared" ref="AK21:AK29" si="43">(Y21+AB21+AE21+AH21)/4</f>
        <v>0.99877499999999997</v>
      </c>
      <c r="AL21" s="15">
        <f t="shared" ref="AL21:AL29" si="44">(Z21+AC21+AF21+AI21)/4</f>
        <v>0.96310709019964302</v>
      </c>
      <c r="AM21" s="15">
        <f t="shared" ref="AM21:AM29" si="45">AJ21-AJ$20</f>
        <v>4.3000000000000815E-3</v>
      </c>
      <c r="AN21" s="15">
        <f t="shared" ref="AN21:AN29" si="46">AK21-AK$20</f>
        <v>-1.7500000000003624E-4</v>
      </c>
      <c r="AO21" s="15">
        <f t="shared" ref="AO21:AO29" si="47">AL21-AL$20</f>
        <v>2.2532579802041486E-3</v>
      </c>
      <c r="AP21" s="10" t="s">
        <v>9</v>
      </c>
    </row>
    <row r="22" spans="1:42" s="12" customFormat="1" x14ac:dyDescent="0.3">
      <c r="A22" s="32" t="s">
        <v>23</v>
      </c>
      <c r="B22" s="18">
        <v>583280511</v>
      </c>
      <c r="C22" s="23">
        <f t="shared" si="36"/>
        <v>0.69680979051076597</v>
      </c>
      <c r="D22" s="17">
        <v>0.79069999999999996</v>
      </c>
      <c r="E22" s="17">
        <v>0.99990000000000001</v>
      </c>
      <c r="F22" s="17">
        <f t="shared" si="24"/>
        <v>0.88307933653523962</v>
      </c>
      <c r="G22" s="17">
        <v>0.93531600000000004</v>
      </c>
      <c r="H22" s="17">
        <v>0.99970000000000003</v>
      </c>
      <c r="I22" s="17">
        <f t="shared" si="25"/>
        <v>0.96643687204653606</v>
      </c>
      <c r="J22" s="17">
        <v>0.97299999999999998</v>
      </c>
      <c r="K22" s="17">
        <v>0.99909999999999999</v>
      </c>
      <c r="L22" s="17">
        <f t="shared" si="26"/>
        <v>0.985877288169971</v>
      </c>
      <c r="M22" s="17">
        <v>0.98609999999999998</v>
      </c>
      <c r="N22" s="17">
        <v>0.99710500000000002</v>
      </c>
      <c r="O22" s="17">
        <f t="shared" si="27"/>
        <v>0.99157196608520048</v>
      </c>
      <c r="P22" s="15">
        <f t="shared" si="37"/>
        <v>0.92127899999999996</v>
      </c>
      <c r="Q22" s="15">
        <f t="shared" si="38"/>
        <v>0.99895124999999996</v>
      </c>
      <c r="R22" s="15">
        <f t="shared" si="39"/>
        <v>0.95674136570923674</v>
      </c>
      <c r="S22" s="15">
        <f t="shared" si="40"/>
        <v>1.2539999999999774E-3</v>
      </c>
      <c r="T22" s="15">
        <f t="shared" si="29"/>
        <v>-2.375000000010008E-5</v>
      </c>
      <c r="U22" s="15">
        <f t="shared" si="29"/>
        <v>7.7636407901537918E-4</v>
      </c>
      <c r="V22" s="18">
        <v>277566711</v>
      </c>
      <c r="W22" s="23">
        <f t="shared" si="41"/>
        <v>0.73595984396210956</v>
      </c>
      <c r="X22" s="17">
        <v>0.82640000000000002</v>
      </c>
      <c r="Y22" s="17">
        <v>0.99979300000000004</v>
      </c>
      <c r="Z22" s="17">
        <f t="shared" si="30"/>
        <v>0.90486485842405495</v>
      </c>
      <c r="AA22" s="17">
        <v>0.9446</v>
      </c>
      <c r="AB22" s="17">
        <v>0.99964799999999998</v>
      </c>
      <c r="AC22" s="17">
        <f t="shared" si="31"/>
        <v>0.97134470581942223</v>
      </c>
      <c r="AD22" s="17">
        <v>0.98229999999999995</v>
      </c>
      <c r="AE22" s="17">
        <v>0.99929999999999997</v>
      </c>
      <c r="AF22" s="17">
        <f t="shared" si="32"/>
        <v>0.99072707912797742</v>
      </c>
      <c r="AG22" s="17">
        <v>0.99192899999999995</v>
      </c>
      <c r="AH22" s="17">
        <v>0.99709999999999999</v>
      </c>
      <c r="AI22" s="17">
        <f t="shared" si="33"/>
        <v>0.99450777831796322</v>
      </c>
      <c r="AJ22" s="15">
        <f t="shared" si="42"/>
        <v>0.93630724999999992</v>
      </c>
      <c r="AK22" s="15">
        <f t="shared" si="43"/>
        <v>0.99896024999999999</v>
      </c>
      <c r="AL22" s="15">
        <f t="shared" si="44"/>
        <v>0.96536110542235454</v>
      </c>
      <c r="AM22" s="15">
        <f t="shared" si="45"/>
        <v>7.6322499999998961E-3</v>
      </c>
      <c r="AN22" s="15">
        <f t="shared" si="46"/>
        <v>1.0249999999989434E-5</v>
      </c>
      <c r="AO22" s="15">
        <f t="shared" si="47"/>
        <v>4.5072732029156626E-3</v>
      </c>
      <c r="AP22" s="10" t="s">
        <v>9</v>
      </c>
    </row>
    <row r="23" spans="1:42" s="12" customFormat="1" x14ac:dyDescent="0.3">
      <c r="A23" s="32" t="s">
        <v>24</v>
      </c>
      <c r="B23" s="18">
        <v>369338993</v>
      </c>
      <c r="C23" s="23">
        <f t="shared" si="36"/>
        <v>0.44122685652321969</v>
      </c>
      <c r="D23" s="17">
        <v>0.81459999999999999</v>
      </c>
      <c r="E23" s="17">
        <v>0.99980000000000002</v>
      </c>
      <c r="F23" s="17">
        <f t="shared" si="24"/>
        <v>0.89774810405643746</v>
      </c>
      <c r="G23" s="17">
        <v>0.93059999999999998</v>
      </c>
      <c r="H23" s="17">
        <v>0.99960000000000004</v>
      </c>
      <c r="I23" s="17">
        <f t="shared" si="25"/>
        <v>0.9638667081131489</v>
      </c>
      <c r="J23" s="17">
        <v>0.97509999999999997</v>
      </c>
      <c r="K23" s="17">
        <v>0.99890000000000001</v>
      </c>
      <c r="L23" s="17">
        <f t="shared" si="26"/>
        <v>0.98685652482269504</v>
      </c>
      <c r="M23" s="17">
        <v>0.98599999999999999</v>
      </c>
      <c r="N23" s="17">
        <v>0.99709999999999999</v>
      </c>
      <c r="O23" s="17">
        <f t="shared" si="27"/>
        <v>0.99151893500075639</v>
      </c>
      <c r="P23" s="15">
        <f t="shared" si="37"/>
        <v>0.92657499999999993</v>
      </c>
      <c r="Q23" s="15">
        <f t="shared" si="38"/>
        <v>0.99885000000000002</v>
      </c>
      <c r="R23" s="15">
        <f t="shared" si="39"/>
        <v>0.95999756799825942</v>
      </c>
      <c r="S23" s="15">
        <f t="shared" si="40"/>
        <v>6.5499999999999448E-3</v>
      </c>
      <c r="T23" s="15">
        <f t="shared" si="29"/>
        <v>-1.2500000000004174E-4</v>
      </c>
      <c r="U23" s="15">
        <f t="shared" si="29"/>
        <v>4.0325663680380597E-3</v>
      </c>
      <c r="V23" s="18">
        <v>175908797</v>
      </c>
      <c r="W23" s="23">
        <f t="shared" si="41"/>
        <v>0.46641692127008133</v>
      </c>
      <c r="X23" s="17">
        <v>0.8105</v>
      </c>
      <c r="Y23" s="17">
        <v>0.99990000000000001</v>
      </c>
      <c r="Z23" s="17">
        <f t="shared" si="30"/>
        <v>0.89529269774635434</v>
      </c>
      <c r="AA23" s="17">
        <v>0.9526</v>
      </c>
      <c r="AB23" s="17">
        <v>0.99970000000000003</v>
      </c>
      <c r="AC23" s="17">
        <f t="shared" si="31"/>
        <v>0.97558184705219475</v>
      </c>
      <c r="AD23" s="17">
        <v>0.98089999999999999</v>
      </c>
      <c r="AE23" s="17">
        <v>0.99909999999999999</v>
      </c>
      <c r="AF23" s="17">
        <f t="shared" si="32"/>
        <v>0.98991635353535357</v>
      </c>
      <c r="AG23" s="17">
        <v>0.99199999999999999</v>
      </c>
      <c r="AH23" s="17">
        <v>0.99719999999999998</v>
      </c>
      <c r="AI23" s="17">
        <f t="shared" si="33"/>
        <v>0.9945932032978082</v>
      </c>
      <c r="AJ23" s="15">
        <f t="shared" si="42"/>
        <v>0.93400000000000005</v>
      </c>
      <c r="AK23" s="15">
        <f>(Y23+AB23+AE23+AH23)/4</f>
        <v>0.99897499999999995</v>
      </c>
      <c r="AL23" s="15">
        <f t="shared" si="44"/>
        <v>0.96384602540792774</v>
      </c>
      <c r="AM23" s="15">
        <f t="shared" si="45"/>
        <v>5.3250000000000242E-3</v>
      </c>
      <c r="AN23" s="15">
        <f>AK23-AK$20</f>
        <v>2.4999999999941735E-5</v>
      </c>
      <c r="AO23" s="15">
        <f t="shared" si="47"/>
        <v>2.9921931884888675E-3</v>
      </c>
      <c r="AP23" s="10" t="s">
        <v>9</v>
      </c>
    </row>
    <row r="24" spans="1:42" s="12" customFormat="1" x14ac:dyDescent="0.3">
      <c r="A24" s="32" t="s">
        <v>25</v>
      </c>
      <c r="B24" s="18">
        <v>259975714</v>
      </c>
      <c r="C24" s="23">
        <f t="shared" si="36"/>
        <v>0.31057719123796818</v>
      </c>
      <c r="D24" s="17">
        <v>0.79190000000000005</v>
      </c>
      <c r="E24" s="17">
        <v>0.99990000000000001</v>
      </c>
      <c r="F24" s="17">
        <f t="shared" si="24"/>
        <v>0.88382722402053804</v>
      </c>
      <c r="G24" s="17">
        <v>0.92559999999999998</v>
      </c>
      <c r="H24" s="17">
        <v>0.99980000000000002</v>
      </c>
      <c r="I24" s="17">
        <f t="shared" si="25"/>
        <v>0.96127026072504418</v>
      </c>
      <c r="J24" s="17">
        <v>0.97230000000000005</v>
      </c>
      <c r="K24" s="17">
        <v>0.99919999999999998</v>
      </c>
      <c r="L24" s="17">
        <f t="shared" si="26"/>
        <v>0.98556648237382705</v>
      </c>
      <c r="M24" s="17">
        <v>0.98599999999999999</v>
      </c>
      <c r="N24" s="17">
        <v>0.99707199999999996</v>
      </c>
      <c r="O24" s="17">
        <f t="shared" si="27"/>
        <v>0.99150509109099416</v>
      </c>
      <c r="P24" s="15">
        <f t="shared" si="37"/>
        <v>0.91894999999999993</v>
      </c>
      <c r="Q24" s="15">
        <f t="shared" si="38"/>
        <v>0.99899300000000002</v>
      </c>
      <c r="R24" s="15">
        <f t="shared" si="39"/>
        <v>0.95554226455260083</v>
      </c>
      <c r="S24" s="15">
        <f t="shared" si="40"/>
        <v>-1.0750000000000481E-3</v>
      </c>
      <c r="T24" s="15">
        <f t="shared" si="29"/>
        <v>1.799999999996249E-5</v>
      </c>
      <c r="U24" s="15">
        <f t="shared" si="29"/>
        <v>-4.2273707762052748E-4</v>
      </c>
      <c r="V24" s="18">
        <v>125973247</v>
      </c>
      <c r="W24" s="23">
        <f t="shared" si="41"/>
        <v>0.33401430190063491</v>
      </c>
      <c r="X24" s="17">
        <v>0.82010000000000005</v>
      </c>
      <c r="Y24" s="17">
        <v>0.99980000000000002</v>
      </c>
      <c r="Z24" s="17">
        <f t="shared" si="30"/>
        <v>0.90107805923402395</v>
      </c>
      <c r="AA24" s="17">
        <v>0.94310000000000005</v>
      </c>
      <c r="AB24" s="17">
        <v>0.99960000000000004</v>
      </c>
      <c r="AC24" s="17">
        <f t="shared" si="31"/>
        <v>0.97052839862047668</v>
      </c>
      <c r="AD24" s="17">
        <v>0.9788</v>
      </c>
      <c r="AE24" s="17">
        <v>0.99839999999999995</v>
      </c>
      <c r="AF24" s="17">
        <f t="shared" si="32"/>
        <v>0.98850285251871339</v>
      </c>
      <c r="AG24" s="17">
        <v>0.99199999999999999</v>
      </c>
      <c r="AH24" s="17">
        <v>0.99709999999999999</v>
      </c>
      <c r="AI24" s="17">
        <f t="shared" si="33"/>
        <v>0.99454346186717602</v>
      </c>
      <c r="AJ24" s="15">
        <f t="shared" si="42"/>
        <v>0.9335</v>
      </c>
      <c r="AK24" s="15">
        <f t="shared" si="43"/>
        <v>0.99872499999999997</v>
      </c>
      <c r="AL24" s="15">
        <f t="shared" si="44"/>
        <v>0.9636631930600974</v>
      </c>
      <c r="AM24" s="15">
        <f t="shared" si="45"/>
        <v>4.8249999999999682E-3</v>
      </c>
      <c r="AN24" s="15">
        <f t="shared" si="46"/>
        <v>-2.2500000000003073E-4</v>
      </c>
      <c r="AO24" s="15">
        <f t="shared" si="47"/>
        <v>2.8093608406585258E-3</v>
      </c>
      <c r="AP24" s="10" t="s">
        <v>9</v>
      </c>
    </row>
    <row r="25" spans="1:42" s="12" customFormat="1" x14ac:dyDescent="0.3">
      <c r="A25" s="32" t="s">
        <v>26</v>
      </c>
      <c r="B25" s="18">
        <v>152385057</v>
      </c>
      <c r="C25" s="23">
        <f t="shared" si="36"/>
        <v>0.18204516976419452</v>
      </c>
      <c r="D25" s="17">
        <v>0.79430000000000001</v>
      </c>
      <c r="E25" s="17">
        <v>0.99980000000000002</v>
      </c>
      <c r="F25" s="17">
        <f t="shared" si="24"/>
        <v>0.88528079817178529</v>
      </c>
      <c r="G25" s="17">
        <v>0.93440000000000001</v>
      </c>
      <c r="H25" s="17">
        <v>0.99960000000000004</v>
      </c>
      <c r="I25" s="17">
        <f t="shared" si="25"/>
        <v>0.96590097207859349</v>
      </c>
      <c r="J25" s="17">
        <v>0.97160000000000002</v>
      </c>
      <c r="K25" s="17">
        <v>0.99909999999999999</v>
      </c>
      <c r="L25" s="17">
        <f t="shared" si="26"/>
        <v>0.98515812655401636</v>
      </c>
      <c r="M25" s="17">
        <v>0.98599999999999999</v>
      </c>
      <c r="N25" s="17">
        <v>0.99660000000000004</v>
      </c>
      <c r="O25" s="17">
        <f t="shared" si="27"/>
        <v>0.99127166347220819</v>
      </c>
      <c r="P25" s="15">
        <f t="shared" si="37"/>
        <v>0.92157500000000003</v>
      </c>
      <c r="Q25" s="15">
        <f t="shared" si="38"/>
        <v>0.99877499999999997</v>
      </c>
      <c r="R25" s="15">
        <f t="shared" si="39"/>
        <v>0.95690289006915075</v>
      </c>
      <c r="S25" s="15">
        <f t="shared" si="40"/>
        <v>1.5500000000000513E-3</v>
      </c>
      <c r="T25" s="15">
        <f t="shared" si="29"/>
        <v>-2.00000000000089E-4</v>
      </c>
      <c r="U25" s="15">
        <f t="shared" si="29"/>
        <v>9.3788843892939067E-4</v>
      </c>
      <c r="V25" s="18">
        <v>74727311</v>
      </c>
      <c r="W25" s="23">
        <f t="shared" si="41"/>
        <v>0.19813723319028712</v>
      </c>
      <c r="X25" s="17">
        <v>0.82150000000000001</v>
      </c>
      <c r="Y25" s="17">
        <v>0.99970000000000003</v>
      </c>
      <c r="Z25" s="17">
        <f t="shared" si="30"/>
        <v>0.90188178124313634</v>
      </c>
      <c r="AA25" s="17">
        <v>0.94399999999999995</v>
      </c>
      <c r="AB25" s="17">
        <v>0.99950000000000006</v>
      </c>
      <c r="AC25" s="17">
        <f t="shared" si="31"/>
        <v>0.9709575508103937</v>
      </c>
      <c r="AD25" s="17">
        <v>0.98350000000000004</v>
      </c>
      <c r="AE25" s="17">
        <v>0.99890000000000001</v>
      </c>
      <c r="AF25" s="17">
        <f t="shared" si="32"/>
        <v>0.99114018361581924</v>
      </c>
      <c r="AG25" s="17">
        <v>0.9919</v>
      </c>
      <c r="AH25" s="17">
        <v>0.996421</v>
      </c>
      <c r="AI25" s="17">
        <f t="shared" si="33"/>
        <v>0.99415536012545258</v>
      </c>
      <c r="AJ25" s="15">
        <f t="shared" si="42"/>
        <v>0.93522499999999997</v>
      </c>
      <c r="AK25" s="15">
        <f t="shared" si="43"/>
        <v>0.99863024999999994</v>
      </c>
      <c r="AL25" s="15">
        <f t="shared" si="44"/>
        <v>0.96453371894870044</v>
      </c>
      <c r="AM25" s="15">
        <f t="shared" si="45"/>
        <v>6.5499999999999448E-3</v>
      </c>
      <c r="AN25" s="15">
        <f t="shared" si="46"/>
        <v>-3.1975000000006304E-4</v>
      </c>
      <c r="AO25" s="15">
        <f t="shared" si="47"/>
        <v>3.6798867292615611E-3</v>
      </c>
      <c r="AP25" s="10" t="s">
        <v>9</v>
      </c>
    </row>
    <row r="26" spans="1:42" x14ac:dyDescent="0.3">
      <c r="A26" s="32" t="s">
        <v>76</v>
      </c>
      <c r="B26" s="18"/>
      <c r="C26" s="23">
        <f t="shared" si="36"/>
        <v>0</v>
      </c>
      <c r="D26" s="17"/>
      <c r="E26" s="17"/>
      <c r="F26" s="17" t="e">
        <f t="shared" si="24"/>
        <v>#DIV/0!</v>
      </c>
      <c r="G26" s="17"/>
      <c r="H26" s="17"/>
      <c r="I26" s="17" t="e">
        <f t="shared" si="25"/>
        <v>#DIV/0!</v>
      </c>
      <c r="J26" s="17"/>
      <c r="K26" s="17"/>
      <c r="L26" s="17" t="e">
        <f t="shared" si="26"/>
        <v>#DIV/0!</v>
      </c>
      <c r="M26" s="17"/>
      <c r="N26" s="17"/>
      <c r="O26" s="17" t="e">
        <f t="shared" si="27"/>
        <v>#DIV/0!</v>
      </c>
      <c r="P26" s="15">
        <f t="shared" si="37"/>
        <v>0</v>
      </c>
      <c r="Q26" s="15">
        <f>(E26+H26+K26+N26)/4</f>
        <v>0</v>
      </c>
      <c r="R26" s="15" t="e">
        <f t="shared" si="39"/>
        <v>#DIV/0!</v>
      </c>
      <c r="S26" s="15">
        <f t="shared" si="40"/>
        <v>-0.92002499999999998</v>
      </c>
      <c r="T26" s="15">
        <f t="shared" si="29"/>
        <v>-0.99897500000000006</v>
      </c>
      <c r="U26" s="15" t="e">
        <f t="shared" si="29"/>
        <v>#DIV/0!</v>
      </c>
      <c r="V26" s="18"/>
      <c r="W26" s="23">
        <f t="shared" si="41"/>
        <v>0</v>
      </c>
      <c r="X26" s="17"/>
      <c r="Y26" s="17"/>
      <c r="Z26" s="17" t="e">
        <f t="shared" si="30"/>
        <v>#DIV/0!</v>
      </c>
      <c r="AA26" s="17"/>
      <c r="AB26" s="17"/>
      <c r="AC26" s="17" t="e">
        <f t="shared" si="31"/>
        <v>#DIV/0!</v>
      </c>
      <c r="AD26" s="17"/>
      <c r="AE26" s="17"/>
      <c r="AF26" s="17" t="e">
        <f t="shared" si="32"/>
        <v>#DIV/0!</v>
      </c>
      <c r="AG26" s="17"/>
      <c r="AH26" s="17"/>
      <c r="AI26" s="17" t="e">
        <f t="shared" si="33"/>
        <v>#DIV/0!</v>
      </c>
      <c r="AJ26" s="15">
        <f t="shared" si="42"/>
        <v>0</v>
      </c>
      <c r="AK26" s="15">
        <f t="shared" si="43"/>
        <v>0</v>
      </c>
      <c r="AL26" s="15" t="e">
        <f t="shared" si="44"/>
        <v>#DIV/0!</v>
      </c>
      <c r="AM26" s="15">
        <f t="shared" si="45"/>
        <v>-0.92867500000000003</v>
      </c>
      <c r="AN26" s="15">
        <f t="shared" si="46"/>
        <v>-0.99895</v>
      </c>
      <c r="AO26" s="15" t="e">
        <f t="shared" si="47"/>
        <v>#DIV/0!</v>
      </c>
      <c r="AP26" s="10" t="s">
        <v>77</v>
      </c>
    </row>
    <row r="27" spans="1:42" s="12" customFormat="1" x14ac:dyDescent="0.3">
      <c r="A27" s="33" t="s">
        <v>47</v>
      </c>
      <c r="B27" s="34">
        <v>328644318</v>
      </c>
      <c r="C27" s="23">
        <f t="shared" si="36"/>
        <v>0.39261140062012728</v>
      </c>
      <c r="D27" s="17">
        <v>0.79659999999999997</v>
      </c>
      <c r="E27" s="17">
        <v>0.99970000000000003</v>
      </c>
      <c r="F27" s="17">
        <f t="shared" si="24"/>
        <v>0.88666817346768356</v>
      </c>
      <c r="G27" s="17">
        <v>0.93389999999999995</v>
      </c>
      <c r="H27" s="17">
        <v>0.99939999999999996</v>
      </c>
      <c r="I27" s="17">
        <f t="shared" si="25"/>
        <v>0.96554043345574914</v>
      </c>
      <c r="J27" s="17">
        <v>0.97230000000000005</v>
      </c>
      <c r="K27" s="17">
        <v>0.99890000000000001</v>
      </c>
      <c r="L27" s="17">
        <f t="shared" si="26"/>
        <v>0.98542052556818183</v>
      </c>
      <c r="M27" s="17">
        <v>0.98629999999999995</v>
      </c>
      <c r="N27" s="17">
        <v>0.99719999999999998</v>
      </c>
      <c r="O27" s="17">
        <f t="shared" si="27"/>
        <v>0.99172005041593148</v>
      </c>
      <c r="P27" s="15">
        <f t="shared" si="37"/>
        <v>0.92227499999999996</v>
      </c>
      <c r="Q27" s="15">
        <f t="shared" si="38"/>
        <v>0.99879999999999991</v>
      </c>
      <c r="R27" s="15">
        <f t="shared" si="39"/>
        <v>0.95733729572688653</v>
      </c>
      <c r="S27" s="15">
        <f t="shared" si="40"/>
        <v>2.2499999999999742E-3</v>
      </c>
      <c r="T27" s="15">
        <f t="shared" si="29"/>
        <v>-1.7500000000014726E-4</v>
      </c>
      <c r="U27" s="15">
        <f t="shared" si="29"/>
        <v>1.372294096665172E-3</v>
      </c>
      <c r="V27" s="34">
        <v>147471578</v>
      </c>
      <c r="W27" s="23">
        <f t="shared" si="41"/>
        <v>0.3910164844433599</v>
      </c>
      <c r="X27" s="17">
        <v>0.8054</v>
      </c>
      <c r="Y27" s="17">
        <v>0.99990000000000001</v>
      </c>
      <c r="Z27" s="17">
        <f t="shared" si="30"/>
        <v>0.89217244779261073</v>
      </c>
      <c r="AA27" s="17">
        <v>0.9506</v>
      </c>
      <c r="AB27" s="17">
        <v>0.99950000000000006</v>
      </c>
      <c r="AC27" s="17">
        <f t="shared" si="31"/>
        <v>0.97443690067176048</v>
      </c>
      <c r="AD27" s="17">
        <v>0.97799999999999998</v>
      </c>
      <c r="AE27" s="17">
        <v>0.99850000000000005</v>
      </c>
      <c r="AF27" s="17">
        <f t="shared" si="32"/>
        <v>0.98814368833797106</v>
      </c>
      <c r="AG27" s="17">
        <v>0.99209999999999998</v>
      </c>
      <c r="AH27" s="17">
        <v>0.99729999999999996</v>
      </c>
      <c r="AI27" s="17">
        <f t="shared" si="33"/>
        <v>0.99469320398109995</v>
      </c>
      <c r="AJ27" s="15">
        <f t="shared" si="42"/>
        <v>0.93152499999999994</v>
      </c>
      <c r="AK27" s="15">
        <f t="shared" si="43"/>
        <v>0.99880000000000002</v>
      </c>
      <c r="AL27" s="15">
        <f t="shared" si="44"/>
        <v>0.9623615601958605</v>
      </c>
      <c r="AM27" s="15">
        <f t="shared" si="45"/>
        <v>2.8499999999999082E-3</v>
      </c>
      <c r="AN27" s="15">
        <f t="shared" si="46"/>
        <v>-1.4999999999998348E-4</v>
      </c>
      <c r="AO27" s="15">
        <f t="shared" si="47"/>
        <v>1.5077279764216245E-3</v>
      </c>
      <c r="AP27" s="10" t="s">
        <v>9</v>
      </c>
    </row>
    <row r="28" spans="1:42" s="12" customFormat="1" x14ac:dyDescent="0.3">
      <c r="A28" s="33" t="s">
        <v>48</v>
      </c>
      <c r="B28" s="34">
        <v>246283161</v>
      </c>
      <c r="C28" s="23">
        <f t="shared" si="36"/>
        <v>0.29421953003113327</v>
      </c>
      <c r="D28" s="17">
        <v>0.80059999999999998</v>
      </c>
      <c r="E28" s="17">
        <v>0.99980000000000002</v>
      </c>
      <c r="F28" s="17">
        <f t="shared" si="24"/>
        <v>0.88918004887802715</v>
      </c>
      <c r="G28" s="17">
        <v>0.9365</v>
      </c>
      <c r="H28" s="17">
        <v>0.99939999999999996</v>
      </c>
      <c r="I28" s="17">
        <f t="shared" si="25"/>
        <v>0.96692814711503694</v>
      </c>
      <c r="J28" s="17">
        <v>0.97070000000000001</v>
      </c>
      <c r="K28" s="17">
        <v>0.99890000000000001</v>
      </c>
      <c r="L28" s="17">
        <f t="shared" si="26"/>
        <v>0.9845981214459788</v>
      </c>
      <c r="M28" s="17">
        <v>0.98650000000000004</v>
      </c>
      <c r="N28" s="17">
        <v>0.99690000000000001</v>
      </c>
      <c r="O28" s="17">
        <f t="shared" si="27"/>
        <v>0.99167273368962394</v>
      </c>
      <c r="P28" s="15">
        <f t="shared" si="37"/>
        <v>0.92357499999999992</v>
      </c>
      <c r="Q28" s="15">
        <f>(E28+H28+K28+N28)/4</f>
        <v>0.99875000000000003</v>
      </c>
      <c r="R28" s="15">
        <f t="shared" si="39"/>
        <v>0.95809476278216676</v>
      </c>
      <c r="S28" s="15">
        <f t="shared" si="40"/>
        <v>3.5499999999999421E-3</v>
      </c>
      <c r="T28" s="15">
        <f t="shared" si="29"/>
        <v>-2.2500000000003073E-4</v>
      </c>
      <c r="U28" s="15">
        <f t="shared" si="29"/>
        <v>2.1297611519454085E-3</v>
      </c>
      <c r="V28" s="34">
        <v>104264203</v>
      </c>
      <c r="W28" s="23">
        <f t="shared" si="41"/>
        <v>0.27645342013190377</v>
      </c>
      <c r="X28" s="17">
        <v>0.83079999999999998</v>
      </c>
      <c r="Y28" s="17">
        <v>0.99970000000000003</v>
      </c>
      <c r="Z28" s="17">
        <f t="shared" si="30"/>
        <v>0.90745780934170994</v>
      </c>
      <c r="AA28" s="17">
        <v>0.94220000000000004</v>
      </c>
      <c r="AB28" s="17">
        <v>0.99960000000000004</v>
      </c>
      <c r="AC28" s="17">
        <f t="shared" si="31"/>
        <v>0.97005162220620045</v>
      </c>
      <c r="AD28" s="17">
        <v>0.98019999999999996</v>
      </c>
      <c r="AE28" s="17">
        <v>0.99929999999999997</v>
      </c>
      <c r="AF28" s="17">
        <f t="shared" si="32"/>
        <v>0.9896578529931801</v>
      </c>
      <c r="AG28" s="17">
        <v>0.99229999999999996</v>
      </c>
      <c r="AH28" s="17">
        <v>0.99727200000000005</v>
      </c>
      <c r="AI28" s="17">
        <f t="shared" si="33"/>
        <v>0.99477978741156392</v>
      </c>
      <c r="AJ28" s="15">
        <f t="shared" si="42"/>
        <v>0.93637499999999996</v>
      </c>
      <c r="AK28" s="15">
        <f t="shared" si="43"/>
        <v>0.99896800000000008</v>
      </c>
      <c r="AL28" s="15">
        <f t="shared" si="44"/>
        <v>0.96548676798816357</v>
      </c>
      <c r="AM28" s="15">
        <f t="shared" si="45"/>
        <v>7.6999999999999291E-3</v>
      </c>
      <c r="AN28" s="15">
        <f t="shared" si="46"/>
        <v>1.8000000000073513E-5</v>
      </c>
      <c r="AO28" s="15">
        <f t="shared" si="47"/>
        <v>4.6329357687246997E-3</v>
      </c>
      <c r="AP28" s="10" t="s">
        <v>9</v>
      </c>
    </row>
    <row r="29" spans="1:42" x14ac:dyDescent="0.3">
      <c r="A29" s="32" t="s">
        <v>49</v>
      </c>
      <c r="B29" s="18">
        <f>183388108+441990027</f>
        <v>625378135</v>
      </c>
      <c r="C29" s="23">
        <f t="shared" si="36"/>
        <v>0.74710126435094204</v>
      </c>
      <c r="D29" s="17">
        <v>0.8034</v>
      </c>
      <c r="E29" s="17">
        <v>0.99970000000000003</v>
      </c>
      <c r="F29" s="17">
        <f t="shared" si="24"/>
        <v>0.89086459985580391</v>
      </c>
      <c r="G29" s="17">
        <v>0.93389999999999995</v>
      </c>
      <c r="H29" s="17">
        <v>0.99950000000000006</v>
      </c>
      <c r="I29" s="17">
        <f t="shared" si="25"/>
        <v>0.96558710044481222</v>
      </c>
      <c r="J29" s="17">
        <v>0.97619999999999996</v>
      </c>
      <c r="K29" s="17">
        <v>0.99880000000000002</v>
      </c>
      <c r="L29" s="17">
        <f t="shared" si="26"/>
        <v>0.98737069367088592</v>
      </c>
      <c r="M29" s="17">
        <v>0.98519999999999996</v>
      </c>
      <c r="N29" s="17">
        <v>0.99739999999999995</v>
      </c>
      <c r="O29" s="17">
        <f t="shared" si="27"/>
        <v>0.99126246343185709</v>
      </c>
      <c r="P29" s="15">
        <f t="shared" si="37"/>
        <v>0.92467499999999991</v>
      </c>
      <c r="Q29" s="15">
        <f t="shared" si="38"/>
        <v>0.99885000000000002</v>
      </c>
      <c r="R29" s="15">
        <f t="shared" si="39"/>
        <v>0.95877121435083978</v>
      </c>
      <c r="S29" s="15">
        <f t="shared" si="40"/>
        <v>4.649999999999932E-3</v>
      </c>
      <c r="T29" s="15">
        <f t="shared" si="29"/>
        <v>-1.2500000000004174E-4</v>
      </c>
      <c r="U29" s="15">
        <f t="shared" si="29"/>
        <v>2.8062127206184284E-3</v>
      </c>
      <c r="V29" s="18">
        <f>80955157+206355779</f>
        <v>287310936</v>
      </c>
      <c r="W29" s="23">
        <f t="shared" si="41"/>
        <v>0.76179636551289343</v>
      </c>
      <c r="X29" s="17">
        <v>0.8095</v>
      </c>
      <c r="Y29" s="17">
        <v>0.99970000000000003</v>
      </c>
      <c r="Z29" s="17">
        <f t="shared" si="30"/>
        <v>0.89460219986734457</v>
      </c>
      <c r="AA29" s="17">
        <v>0.94510000000000005</v>
      </c>
      <c r="AB29" s="17">
        <v>0.99960000000000004</v>
      </c>
      <c r="AC29" s="17">
        <f t="shared" si="31"/>
        <v>0.97158632179770665</v>
      </c>
      <c r="AD29" s="17">
        <v>0.98109999999999997</v>
      </c>
      <c r="AE29" s="17">
        <v>0.99909999999999999</v>
      </c>
      <c r="AF29" s="17">
        <f t="shared" si="32"/>
        <v>0.99001819008180991</v>
      </c>
      <c r="AG29" s="17">
        <v>0.99170000000000003</v>
      </c>
      <c r="AH29" s="17">
        <v>0.99709999999999999</v>
      </c>
      <c r="AI29" s="17">
        <f t="shared" si="33"/>
        <v>0.99439266894609823</v>
      </c>
      <c r="AJ29" s="15">
        <f t="shared" si="42"/>
        <v>0.93185000000000007</v>
      </c>
      <c r="AK29" s="15">
        <f t="shared" si="43"/>
        <v>0.99887500000000007</v>
      </c>
      <c r="AL29" s="15">
        <f t="shared" si="44"/>
        <v>0.96264984517323993</v>
      </c>
      <c r="AM29" s="15">
        <f t="shared" si="45"/>
        <v>3.1750000000000389E-3</v>
      </c>
      <c r="AN29" s="15">
        <f t="shared" si="46"/>
        <v>-7.4999999999936229E-5</v>
      </c>
      <c r="AO29" s="15">
        <f t="shared" si="47"/>
        <v>1.7960129538010516E-3</v>
      </c>
      <c r="AP29" s="10" t="s">
        <v>9</v>
      </c>
    </row>
    <row r="30" spans="1:42" s="12" customFormat="1" ht="36" customHeight="1" x14ac:dyDescent="0.3">
      <c r="A30" s="35"/>
      <c r="B30" s="36"/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8"/>
    </row>
    <row r="31" spans="1:42" s="12" customFormat="1" ht="18" x14ac:dyDescent="0.35">
      <c r="A31" s="63" t="s">
        <v>69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</row>
    <row r="32" spans="1:42" s="12" customFormat="1" x14ac:dyDescent="0.3">
      <c r="A32" s="49"/>
      <c r="B32" s="60" t="s">
        <v>15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2"/>
      <c r="V32" s="60" t="s">
        <v>14</v>
      </c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2"/>
      <c r="AP32" s="50" t="s">
        <v>65</v>
      </c>
    </row>
    <row r="33" spans="1:42" s="12" customFormat="1" x14ac:dyDescent="0.3">
      <c r="A33" s="49"/>
      <c r="B33" s="50" t="s">
        <v>8</v>
      </c>
      <c r="C33" s="55" t="s">
        <v>46</v>
      </c>
      <c r="D33" s="51" t="s">
        <v>13</v>
      </c>
      <c r="E33" s="51"/>
      <c r="F33" s="51"/>
      <c r="G33" s="51" t="s">
        <v>10</v>
      </c>
      <c r="H33" s="51"/>
      <c r="I33" s="51"/>
      <c r="J33" s="51" t="s">
        <v>11</v>
      </c>
      <c r="K33" s="51"/>
      <c r="L33" s="51"/>
      <c r="M33" s="51" t="s">
        <v>12</v>
      </c>
      <c r="N33" s="51"/>
      <c r="O33" s="51"/>
      <c r="P33" s="57" t="s">
        <v>70</v>
      </c>
      <c r="Q33" s="58"/>
      <c r="R33" s="59"/>
      <c r="S33" s="57" t="s">
        <v>72</v>
      </c>
      <c r="T33" s="58"/>
      <c r="U33" s="59"/>
      <c r="V33" s="50" t="s">
        <v>8</v>
      </c>
      <c r="W33" s="55" t="s">
        <v>46</v>
      </c>
      <c r="X33" s="51" t="s">
        <v>13</v>
      </c>
      <c r="Y33" s="51"/>
      <c r="Z33" s="51"/>
      <c r="AA33" s="51" t="s">
        <v>10</v>
      </c>
      <c r="AB33" s="51"/>
      <c r="AC33" s="51"/>
      <c r="AD33" s="51" t="s">
        <v>11</v>
      </c>
      <c r="AE33" s="51"/>
      <c r="AF33" s="51"/>
      <c r="AG33" s="51" t="s">
        <v>12</v>
      </c>
      <c r="AH33" s="51"/>
      <c r="AI33" s="51"/>
      <c r="AJ33" s="57" t="s">
        <v>70</v>
      </c>
      <c r="AK33" s="58"/>
      <c r="AL33" s="59"/>
      <c r="AM33" s="57" t="s">
        <v>72</v>
      </c>
      <c r="AN33" s="58"/>
      <c r="AO33" s="59"/>
      <c r="AP33" s="50"/>
    </row>
    <row r="34" spans="1:42" s="12" customFormat="1" x14ac:dyDescent="0.3">
      <c r="A34" s="49"/>
      <c r="B34" s="50"/>
      <c r="C34" s="56"/>
      <c r="D34" s="39" t="s">
        <v>75</v>
      </c>
      <c r="E34" s="39" t="s">
        <v>2</v>
      </c>
      <c r="F34" s="39" t="s">
        <v>3</v>
      </c>
      <c r="G34" s="39" t="s">
        <v>75</v>
      </c>
      <c r="H34" s="39" t="s">
        <v>2</v>
      </c>
      <c r="I34" s="39" t="s">
        <v>3</v>
      </c>
      <c r="J34" s="39" t="s">
        <v>75</v>
      </c>
      <c r="K34" s="39" t="s">
        <v>2</v>
      </c>
      <c r="L34" s="39" t="s">
        <v>3</v>
      </c>
      <c r="M34" s="39" t="s">
        <v>75</v>
      </c>
      <c r="N34" s="39" t="s">
        <v>2</v>
      </c>
      <c r="O34" s="39" t="s">
        <v>3</v>
      </c>
      <c r="P34" s="40" t="s">
        <v>75</v>
      </c>
      <c r="Q34" s="40" t="s">
        <v>2</v>
      </c>
      <c r="R34" s="40" t="s">
        <v>3</v>
      </c>
      <c r="S34" s="40" t="s">
        <v>75</v>
      </c>
      <c r="T34" s="40" t="s">
        <v>2</v>
      </c>
      <c r="U34" s="40" t="s">
        <v>3</v>
      </c>
      <c r="V34" s="50"/>
      <c r="W34" s="56"/>
      <c r="X34" s="39" t="s">
        <v>75</v>
      </c>
      <c r="Y34" s="39" t="s">
        <v>2</v>
      </c>
      <c r="Z34" s="39" t="s">
        <v>3</v>
      </c>
      <c r="AA34" s="39" t="s">
        <v>75</v>
      </c>
      <c r="AB34" s="39" t="s">
        <v>2</v>
      </c>
      <c r="AC34" s="39" t="s">
        <v>3</v>
      </c>
      <c r="AD34" s="39" t="s">
        <v>75</v>
      </c>
      <c r="AE34" s="39" t="s">
        <v>2</v>
      </c>
      <c r="AF34" s="39" t="s">
        <v>3</v>
      </c>
      <c r="AG34" s="39" t="s">
        <v>75</v>
      </c>
      <c r="AH34" s="39" t="s">
        <v>2</v>
      </c>
      <c r="AI34" s="39" t="s">
        <v>3</v>
      </c>
      <c r="AJ34" s="40" t="s">
        <v>75</v>
      </c>
      <c r="AK34" s="40" t="s">
        <v>2</v>
      </c>
      <c r="AL34" s="40" t="s">
        <v>3</v>
      </c>
      <c r="AM34" s="40" t="s">
        <v>75</v>
      </c>
      <c r="AN34" s="40" t="s">
        <v>2</v>
      </c>
      <c r="AO34" s="40" t="s">
        <v>3</v>
      </c>
      <c r="AP34" s="50"/>
    </row>
    <row r="35" spans="1:42" s="12" customFormat="1" x14ac:dyDescent="0.3">
      <c r="A35" s="32" t="s">
        <v>0</v>
      </c>
      <c r="B35" s="18">
        <v>1986669293</v>
      </c>
      <c r="C35" s="23">
        <f t="shared" ref="C35:C44" si="48">(B35/$B$35)*8</f>
        <v>8</v>
      </c>
      <c r="D35" s="17">
        <v>0.78459999999999996</v>
      </c>
      <c r="E35" s="17">
        <v>0.99829999999999997</v>
      </c>
      <c r="F35" s="17">
        <f>2*((D35*E35)/(D35+E35))</f>
        <v>0.87864286275169667</v>
      </c>
      <c r="G35" s="17">
        <v>0.91469999999999996</v>
      </c>
      <c r="H35" s="17">
        <v>0.99780000000000002</v>
      </c>
      <c r="I35" s="17">
        <f t="shared" ref="I35:I44" si="49">2*((G35*H35)/(G35+H35))</f>
        <v>0.95444461176470585</v>
      </c>
      <c r="J35" s="17">
        <v>0.93510000000000004</v>
      </c>
      <c r="K35" s="17">
        <v>0.99780000000000002</v>
      </c>
      <c r="L35" s="17">
        <f t="shared" ref="L35:L44" si="50">2*((J35*K35)/(J35+K35))</f>
        <v>0.96543305913394384</v>
      </c>
      <c r="M35" s="17">
        <v>0.94710000000000005</v>
      </c>
      <c r="N35" s="17">
        <v>0.99719999999999998</v>
      </c>
      <c r="O35" s="17">
        <f t="shared" ref="O35:O44" si="51">2*((M35*N35)/(M35+N35))</f>
        <v>0.97150452090726735</v>
      </c>
      <c r="P35" s="15">
        <f>(D35+G35+J35+M35)/4</f>
        <v>0.89537500000000003</v>
      </c>
      <c r="Q35" s="15">
        <f t="shared" ref="Q35:R35" si="52">(E35+H35+K35+N35)/4</f>
        <v>0.99777499999999997</v>
      </c>
      <c r="R35" s="15">
        <f t="shared" si="52"/>
        <v>0.94250626363940349</v>
      </c>
      <c r="S35" s="15">
        <f>P35-P$35</f>
        <v>0</v>
      </c>
      <c r="T35" s="15">
        <f t="shared" ref="T35:U44" si="53">Q35-Q$35</f>
        <v>0</v>
      </c>
      <c r="U35" s="15">
        <f t="shared" si="53"/>
        <v>0</v>
      </c>
      <c r="V35" s="18">
        <v>880786761</v>
      </c>
      <c r="W35" s="23">
        <f t="shared" ref="W35:W44" si="54">(V35/$V$35)*8</f>
        <v>8</v>
      </c>
      <c r="X35" s="17">
        <v>0.7964</v>
      </c>
      <c r="Y35" s="17">
        <v>0.99809999999999999</v>
      </c>
      <c r="Z35" s="17">
        <f>2*((X35*Y35)/(X35+Y35))</f>
        <v>0.88591456115909728</v>
      </c>
      <c r="AA35" s="17">
        <v>0.92659999999999998</v>
      </c>
      <c r="AB35" s="17">
        <v>0.99790000000000001</v>
      </c>
      <c r="AC35" s="17">
        <f t="shared" ref="AC35" si="55">2*((AA35*AB35)/(AA35+AB35))</f>
        <v>0.96092921797869568</v>
      </c>
      <c r="AD35" s="17">
        <v>0.94579999999999997</v>
      </c>
      <c r="AE35" s="17">
        <v>0.99780000000000002</v>
      </c>
      <c r="AF35" s="17">
        <f t="shared" ref="AF35:AF44" si="56">2*((AD35*AE35)/(AD35+AE35))</f>
        <v>0.97110438361802831</v>
      </c>
      <c r="AG35" s="17">
        <v>0.95530000000000004</v>
      </c>
      <c r="AH35" s="17">
        <v>0.997</v>
      </c>
      <c r="AI35" s="17">
        <f t="shared" ref="AI35:AI44" si="57">2*((AG35*AH35)/(AG35+AH35))</f>
        <v>0.97570465604671408</v>
      </c>
      <c r="AJ35" s="15">
        <f>(X35+AA35+AD35+AG35)/4</f>
        <v>0.90602500000000008</v>
      </c>
      <c r="AK35" s="15">
        <f t="shared" ref="AK35:AL35" si="58">(Y35+AB35+AE35+AH35)/4</f>
        <v>0.99770000000000003</v>
      </c>
      <c r="AL35" s="15">
        <f t="shared" si="58"/>
        <v>0.94841320470063384</v>
      </c>
      <c r="AM35" s="15">
        <f>AJ35-AJ$35</f>
        <v>0</v>
      </c>
      <c r="AN35" s="15">
        <f t="shared" ref="AN35:AO35" si="59">AK35-AK$35</f>
        <v>0</v>
      </c>
      <c r="AO35" s="15">
        <f t="shared" si="59"/>
        <v>0</v>
      </c>
      <c r="AP35" s="10" t="s">
        <v>9</v>
      </c>
    </row>
    <row r="36" spans="1:42" s="12" customFormat="1" x14ac:dyDescent="0.3">
      <c r="A36" s="32" t="s">
        <v>22</v>
      </c>
      <c r="B36" s="18">
        <v>180808513</v>
      </c>
      <c r="C36" s="23">
        <f t="shared" si="48"/>
        <v>0.72808700929571368</v>
      </c>
      <c r="D36" s="17">
        <v>0.78469999999999995</v>
      </c>
      <c r="E36" s="17">
        <v>0.99829999999999997</v>
      </c>
      <c r="F36" s="17">
        <f t="shared" ref="F36:F44" si="60">2*((D36*E36)/(D36+E36))</f>
        <v>0.87870556365675823</v>
      </c>
      <c r="G36" s="17">
        <v>0.91439999999999999</v>
      </c>
      <c r="H36" s="17">
        <v>0.99770000000000003</v>
      </c>
      <c r="I36" s="17">
        <f t="shared" si="49"/>
        <v>0.95423553161445518</v>
      </c>
      <c r="J36" s="17">
        <v>0.93489999999999995</v>
      </c>
      <c r="K36" s="17">
        <v>0.99770000000000003</v>
      </c>
      <c r="L36" s="17">
        <f t="shared" si="50"/>
        <v>0.96527965435165064</v>
      </c>
      <c r="M36" s="17">
        <v>0.94679999999999997</v>
      </c>
      <c r="N36" s="17">
        <v>0.99709999999999999</v>
      </c>
      <c r="O36" s="17">
        <f t="shared" si="51"/>
        <v>0.97129922321107043</v>
      </c>
      <c r="P36" s="15">
        <f t="shared" ref="P36:P44" si="61">(D36+G36+J36+M36)/4</f>
        <v>0.8952</v>
      </c>
      <c r="Q36" s="15">
        <f t="shared" ref="Q36:Q44" si="62">(E36+H36+K36+N36)/4</f>
        <v>0.99770000000000003</v>
      </c>
      <c r="R36" s="15">
        <f t="shared" ref="R36:R44" si="63">(F36+I36+L36+O36)/4</f>
        <v>0.94237999320848354</v>
      </c>
      <c r="S36" s="15">
        <f t="shared" ref="S36:S44" si="64">P36-P$35</f>
        <v>-1.7500000000003624E-4</v>
      </c>
      <c r="T36" s="15">
        <f t="shared" si="53"/>
        <v>-7.4999999999936229E-5</v>
      </c>
      <c r="U36" s="15">
        <f t="shared" si="53"/>
        <v>-1.2627043091995027E-4</v>
      </c>
      <c r="V36" s="18">
        <v>84415660</v>
      </c>
      <c r="W36" s="23">
        <f t="shared" si="54"/>
        <v>0.7667295989250229</v>
      </c>
      <c r="X36" s="17">
        <v>0.80310000000000004</v>
      </c>
      <c r="Y36" s="17">
        <v>0.99780000000000002</v>
      </c>
      <c r="Z36" s="17">
        <f t="shared" ref="Z36:Z44" si="65">2*((X36*Y36)/(X36+Y36))</f>
        <v>0.88992523738130946</v>
      </c>
      <c r="AA36" s="17">
        <v>0.92379999999999995</v>
      </c>
      <c r="AB36" s="17">
        <v>0.99780000000000002</v>
      </c>
      <c r="AC36" s="17">
        <f t="shared" ref="AC36:AC40" si="66">2*((AA36*AB36)/(AA36+AB36))</f>
        <v>0.95937514571190674</v>
      </c>
      <c r="AD36" s="17">
        <v>0.94689999999999996</v>
      </c>
      <c r="AE36" s="17">
        <v>0.99760000000000004</v>
      </c>
      <c r="AF36" s="17">
        <f t="shared" si="56"/>
        <v>0.97158903574183586</v>
      </c>
      <c r="AG36" s="17">
        <v>0.95520000000000005</v>
      </c>
      <c r="AH36" s="17">
        <v>0.997</v>
      </c>
      <c r="AI36" s="17">
        <f t="shared" si="57"/>
        <v>0.97565249462145276</v>
      </c>
      <c r="AJ36" s="15">
        <f t="shared" ref="AJ36:AJ44" si="67">(X36+AA36+AD36+AG36)/4</f>
        <v>0.90725</v>
      </c>
      <c r="AK36" s="15">
        <f t="shared" ref="AK36:AK44" si="68">(Y36+AB36+AE36+AH36)/4</f>
        <v>0.99754999999999994</v>
      </c>
      <c r="AL36" s="15">
        <f t="shared" ref="AL36:AL44" si="69">(Z36+AC36+AF36+AI36)/4</f>
        <v>0.94913547836412626</v>
      </c>
      <c r="AM36" s="15">
        <f t="shared" ref="AM36:AM44" si="70">AJ36-AJ$35</f>
        <v>1.2249999999999206E-3</v>
      </c>
      <c r="AN36" s="15">
        <f t="shared" ref="AN36:AN44" si="71">AK36-AK$35</f>
        <v>-1.500000000000945E-4</v>
      </c>
      <c r="AO36" s="15">
        <f t="shared" ref="AO36:AO44" si="72">AL36-AL$35</f>
        <v>7.2227366349242317E-4</v>
      </c>
      <c r="AP36" s="10" t="s">
        <v>9</v>
      </c>
    </row>
    <row r="37" spans="1:42" s="12" customFormat="1" x14ac:dyDescent="0.3">
      <c r="A37" s="32" t="s">
        <v>23</v>
      </c>
      <c r="B37" s="18">
        <v>93357561</v>
      </c>
      <c r="C37" s="23">
        <f t="shared" si="48"/>
        <v>0.37593599026851221</v>
      </c>
      <c r="D37" s="17">
        <v>0.79590000000000005</v>
      </c>
      <c r="E37" s="17">
        <v>0.99790000000000001</v>
      </c>
      <c r="F37" s="17">
        <f t="shared" si="60"/>
        <v>0.88552637975248083</v>
      </c>
      <c r="G37" s="17">
        <v>0.90090000000000003</v>
      </c>
      <c r="H37" s="17">
        <v>0.99780000000000002</v>
      </c>
      <c r="I37" s="17">
        <f t="shared" si="49"/>
        <v>0.94687735819244756</v>
      </c>
      <c r="J37" s="17">
        <v>0.93110000000000004</v>
      </c>
      <c r="K37" s="17">
        <v>0.99770000000000003</v>
      </c>
      <c r="L37" s="17">
        <f t="shared" si="50"/>
        <v>0.96325017627540443</v>
      </c>
      <c r="M37" s="17">
        <v>0.94679999999999997</v>
      </c>
      <c r="N37" s="17">
        <v>0.99680000000000002</v>
      </c>
      <c r="O37" s="17">
        <f t="shared" si="51"/>
        <v>0.97115686355217123</v>
      </c>
      <c r="P37" s="15">
        <f t="shared" si="61"/>
        <v>0.89367500000000011</v>
      </c>
      <c r="Q37" s="15">
        <f t="shared" si="62"/>
        <v>0.99755000000000005</v>
      </c>
      <c r="R37" s="15">
        <f t="shared" si="63"/>
        <v>0.94170269444312604</v>
      </c>
      <c r="S37" s="15">
        <f t="shared" si="64"/>
        <v>-1.6999999999999238E-3</v>
      </c>
      <c r="T37" s="15">
        <f t="shared" si="53"/>
        <v>-2.2499999999991971E-4</v>
      </c>
      <c r="U37" s="15">
        <f t="shared" si="53"/>
        <v>-8.0356919627744272E-4</v>
      </c>
      <c r="V37" s="18">
        <v>46732315</v>
      </c>
      <c r="W37" s="23">
        <f t="shared" si="54"/>
        <v>0.42445974048876511</v>
      </c>
      <c r="X37" s="17">
        <v>0.8024</v>
      </c>
      <c r="Y37" s="17">
        <v>0.99770000000000003</v>
      </c>
      <c r="Z37" s="17">
        <f t="shared" si="65"/>
        <v>0.88945556357980116</v>
      </c>
      <c r="AA37" s="17">
        <v>0.92620000000000002</v>
      </c>
      <c r="AB37" s="17">
        <v>0.99750000000000005</v>
      </c>
      <c r="AC37" s="17">
        <f t="shared" si="66"/>
        <v>0.96052866871133757</v>
      </c>
      <c r="AD37" s="17">
        <v>0.94199999999999995</v>
      </c>
      <c r="AE37" s="17">
        <v>0.99750000000000005</v>
      </c>
      <c r="AF37" s="17">
        <f t="shared" si="56"/>
        <v>0.9689559164733178</v>
      </c>
      <c r="AG37" s="17">
        <v>0.95509999999999995</v>
      </c>
      <c r="AH37" s="17">
        <v>0.99660000000000004</v>
      </c>
      <c r="AI37" s="17">
        <f t="shared" si="57"/>
        <v>0.975408782087411</v>
      </c>
      <c r="AJ37" s="15">
        <f t="shared" si="67"/>
        <v>0.90642500000000004</v>
      </c>
      <c r="AK37" s="15">
        <f t="shared" si="68"/>
        <v>0.99732500000000002</v>
      </c>
      <c r="AL37" s="15">
        <f t="shared" si="69"/>
        <v>0.94858723271296697</v>
      </c>
      <c r="AM37" s="15">
        <f t="shared" si="70"/>
        <v>3.9999999999995595E-4</v>
      </c>
      <c r="AN37" s="15">
        <f t="shared" si="71"/>
        <v>-3.7500000000001421E-4</v>
      </c>
      <c r="AO37" s="15">
        <f t="shared" si="72"/>
        <v>1.7402801233312726E-4</v>
      </c>
      <c r="AP37" s="10" t="s">
        <v>9</v>
      </c>
    </row>
    <row r="38" spans="1:42" s="12" customFormat="1" x14ac:dyDescent="0.3">
      <c r="A38" s="32" t="s">
        <v>24</v>
      </c>
      <c r="B38" s="18">
        <v>32931170</v>
      </c>
      <c r="C38" s="23">
        <f t="shared" si="48"/>
        <v>0.1326085629491833</v>
      </c>
      <c r="D38" s="17">
        <v>0.78400000000000003</v>
      </c>
      <c r="E38" s="17">
        <v>0.99639999999999995</v>
      </c>
      <c r="F38" s="17">
        <f t="shared" si="60"/>
        <v>0.87753044259716917</v>
      </c>
      <c r="G38" s="17">
        <v>0.91549999999999998</v>
      </c>
      <c r="H38" s="17">
        <v>0.99590000000000001</v>
      </c>
      <c r="I38" s="17">
        <f t="shared" si="49"/>
        <v>0.9540090509574134</v>
      </c>
      <c r="J38" s="17">
        <v>0.93679999999999997</v>
      </c>
      <c r="K38" s="17">
        <v>0.99590000000000001</v>
      </c>
      <c r="L38" s="17">
        <f t="shared" si="50"/>
        <v>0.96544639105913999</v>
      </c>
      <c r="M38" s="17">
        <v>0.94669999999999999</v>
      </c>
      <c r="N38" s="17">
        <v>0.99439999999999995</v>
      </c>
      <c r="O38" s="17">
        <f t="shared" si="51"/>
        <v>0.96996391736644161</v>
      </c>
      <c r="P38" s="15">
        <f t="shared" si="61"/>
        <v>0.89574999999999994</v>
      </c>
      <c r="Q38" s="15">
        <f t="shared" si="62"/>
        <v>0.99564999999999992</v>
      </c>
      <c r="R38" s="15">
        <f t="shared" si="63"/>
        <v>0.9417374504950411</v>
      </c>
      <c r="S38" s="15">
        <f t="shared" si="64"/>
        <v>3.7499999999990319E-4</v>
      </c>
      <c r="T38" s="15">
        <f t="shared" si="53"/>
        <v>-2.1250000000000435E-3</v>
      </c>
      <c r="U38" s="15">
        <f t="shared" si="53"/>
        <v>-7.6881314436239023E-4</v>
      </c>
      <c r="V38" s="18">
        <v>17191826</v>
      </c>
      <c r="W38" s="23">
        <f t="shared" si="54"/>
        <v>0.15614972214597125</v>
      </c>
      <c r="X38" s="17">
        <v>0.80559999999999998</v>
      </c>
      <c r="Y38" s="17">
        <v>0.996</v>
      </c>
      <c r="Z38" s="17">
        <f t="shared" si="65"/>
        <v>0.89073889875666068</v>
      </c>
      <c r="AA38" s="17">
        <v>0.92379999999999995</v>
      </c>
      <c r="AB38" s="17">
        <v>0.996</v>
      </c>
      <c r="AC38" s="17">
        <f t="shared" si="66"/>
        <v>0.95854234816126671</v>
      </c>
      <c r="AD38" s="17">
        <v>0.94679999999999997</v>
      </c>
      <c r="AE38" s="17">
        <v>0.99590000000000001</v>
      </c>
      <c r="AF38" s="17">
        <f t="shared" si="56"/>
        <v>0.97072952077006236</v>
      </c>
      <c r="AG38" s="17">
        <v>0.95540000000000003</v>
      </c>
      <c r="AH38" s="17">
        <v>0.99399999999999999</v>
      </c>
      <c r="AI38" s="17">
        <f t="shared" si="57"/>
        <v>0.97431784138709354</v>
      </c>
      <c r="AJ38" s="15">
        <f t="shared" si="67"/>
        <v>0.90790000000000004</v>
      </c>
      <c r="AK38" s="15">
        <f t="shared" si="68"/>
        <v>0.99547499999999989</v>
      </c>
      <c r="AL38" s="15">
        <f t="shared" si="69"/>
        <v>0.94858215226877074</v>
      </c>
      <c r="AM38" s="15">
        <f t="shared" si="70"/>
        <v>1.87499999999996E-3</v>
      </c>
      <c r="AN38" s="15">
        <f t="shared" si="71"/>
        <v>-2.2250000000001435E-3</v>
      </c>
      <c r="AO38" s="15">
        <f t="shared" si="72"/>
        <v>1.6894756813690126E-4</v>
      </c>
      <c r="AP38" s="10" t="s">
        <v>9</v>
      </c>
    </row>
    <row r="39" spans="1:42" s="12" customFormat="1" x14ac:dyDescent="0.3">
      <c r="A39" s="32" t="s">
        <v>25</v>
      </c>
      <c r="B39" s="18">
        <v>9832950</v>
      </c>
      <c r="C39" s="23">
        <f t="shared" si="48"/>
        <v>3.9595719467336629E-2</v>
      </c>
      <c r="D39" s="17">
        <v>0.78190000000000004</v>
      </c>
      <c r="E39" s="17">
        <v>0.99019999999999997</v>
      </c>
      <c r="F39" s="17">
        <f t="shared" si="60"/>
        <v>0.87380777608487104</v>
      </c>
      <c r="G39" s="17">
        <v>0.91359999999999997</v>
      </c>
      <c r="H39" s="17">
        <v>0.99019999999999997</v>
      </c>
      <c r="I39" s="17">
        <f t="shared" si="49"/>
        <v>0.9503589872885807</v>
      </c>
      <c r="J39" s="17">
        <v>0.93330000000000002</v>
      </c>
      <c r="K39" s="17">
        <v>0.98970000000000002</v>
      </c>
      <c r="L39" s="17">
        <f t="shared" si="50"/>
        <v>0.96067291731669269</v>
      </c>
      <c r="M39" s="17">
        <v>0.94679999999999997</v>
      </c>
      <c r="N39" s="17">
        <v>0.9849</v>
      </c>
      <c r="O39" s="17">
        <f t="shared" si="51"/>
        <v>0.96547426619040233</v>
      </c>
      <c r="P39" s="15">
        <f t="shared" si="61"/>
        <v>0.89390000000000003</v>
      </c>
      <c r="Q39" s="15">
        <f t="shared" si="62"/>
        <v>0.98875000000000002</v>
      </c>
      <c r="R39" s="15">
        <f t="shared" si="63"/>
        <v>0.93757848672013666</v>
      </c>
      <c r="S39" s="15">
        <f t="shared" si="64"/>
        <v>-1.4750000000000041E-3</v>
      </c>
      <c r="T39" s="15">
        <f t="shared" si="53"/>
        <v>-9.0249999999999497E-3</v>
      </c>
      <c r="U39" s="15">
        <f t="shared" si="53"/>
        <v>-4.9277769192668242E-3</v>
      </c>
      <c r="V39" s="18">
        <v>5722879</v>
      </c>
      <c r="W39" s="23">
        <f t="shared" si="54"/>
        <v>5.1979700453285989E-2</v>
      </c>
      <c r="X39" s="17">
        <v>0.80210000000000004</v>
      </c>
      <c r="Y39" s="17">
        <v>0.98850000000000005</v>
      </c>
      <c r="Z39" s="17">
        <f t="shared" si="65"/>
        <v>0.88559795599240487</v>
      </c>
      <c r="AA39" s="17">
        <v>0.9274</v>
      </c>
      <c r="AB39" s="17">
        <v>0.98899999999999999</v>
      </c>
      <c r="AC39" s="17">
        <f t="shared" si="66"/>
        <v>0.95720997704028388</v>
      </c>
      <c r="AD39" s="17">
        <v>0.94769999999999999</v>
      </c>
      <c r="AE39" s="17">
        <v>0.98829999999999996</v>
      </c>
      <c r="AF39" s="17">
        <f t="shared" si="56"/>
        <v>0.96757428719008265</v>
      </c>
      <c r="AG39" s="17">
        <v>0.95540000000000003</v>
      </c>
      <c r="AH39" s="17">
        <v>0.98229999999999995</v>
      </c>
      <c r="AI39" s="17">
        <f t="shared" si="57"/>
        <v>0.96866328120968159</v>
      </c>
      <c r="AJ39" s="15">
        <f t="shared" si="67"/>
        <v>0.90815000000000001</v>
      </c>
      <c r="AK39" s="15">
        <f t="shared" si="68"/>
        <v>0.98702499999999993</v>
      </c>
      <c r="AL39" s="15">
        <f t="shared" si="69"/>
        <v>0.94476137535811322</v>
      </c>
      <c r="AM39" s="15">
        <f t="shared" si="70"/>
        <v>2.1249999999999325E-3</v>
      </c>
      <c r="AN39" s="15">
        <f t="shared" si="71"/>
        <v>-1.0675000000000101E-2</v>
      </c>
      <c r="AO39" s="15">
        <f t="shared" si="72"/>
        <v>-3.6518293425206183E-3</v>
      </c>
      <c r="AP39" s="10" t="s">
        <v>9</v>
      </c>
    </row>
    <row r="40" spans="1:42" s="12" customFormat="1" x14ac:dyDescent="0.3">
      <c r="A40" s="32" t="s">
        <v>26</v>
      </c>
      <c r="B40" s="18">
        <v>3480969</v>
      </c>
      <c r="C40" s="23">
        <f t="shared" si="48"/>
        <v>1.4017306301618062E-2</v>
      </c>
      <c r="D40" s="17">
        <v>0.78669999999999995</v>
      </c>
      <c r="E40" s="17">
        <v>0.98560000000000003</v>
      </c>
      <c r="F40" s="17">
        <f t="shared" si="60"/>
        <v>0.87498901991762112</v>
      </c>
      <c r="G40" s="17">
        <v>0.9163</v>
      </c>
      <c r="H40" s="17">
        <v>0.98570000000000002</v>
      </c>
      <c r="I40" s="17">
        <f t="shared" si="49"/>
        <v>0.94973386961093575</v>
      </c>
      <c r="J40" s="17">
        <v>0.93530000000000002</v>
      </c>
      <c r="K40" s="17">
        <v>0.98519999999999996</v>
      </c>
      <c r="L40" s="17">
        <f t="shared" si="50"/>
        <v>0.95960172871648008</v>
      </c>
      <c r="M40" s="17">
        <v>0.94650000000000001</v>
      </c>
      <c r="N40" s="17">
        <v>0.97940000000000005</v>
      </c>
      <c r="O40" s="17">
        <f t="shared" si="51"/>
        <v>0.9626689859286568</v>
      </c>
      <c r="P40" s="15">
        <f t="shared" si="61"/>
        <v>0.8962</v>
      </c>
      <c r="Q40" s="15">
        <f t="shared" si="62"/>
        <v>0.98397500000000004</v>
      </c>
      <c r="R40" s="15">
        <f t="shared" si="63"/>
        <v>0.9367484010434235</v>
      </c>
      <c r="S40" s="15">
        <f t="shared" si="64"/>
        <v>8.2499999999996465E-4</v>
      </c>
      <c r="T40" s="15">
        <f t="shared" si="53"/>
        <v>-1.3799999999999923E-2</v>
      </c>
      <c r="U40" s="15">
        <f t="shared" si="53"/>
        <v>-5.7578625959799901E-3</v>
      </c>
      <c r="V40" s="18">
        <v>1879305</v>
      </c>
      <c r="W40" s="23">
        <f t="shared" si="54"/>
        <v>1.7069330132676686E-2</v>
      </c>
      <c r="X40" s="17">
        <v>0.80449999999999999</v>
      </c>
      <c r="Y40" s="17">
        <v>0.98199999999999998</v>
      </c>
      <c r="Z40" s="17">
        <f t="shared" si="65"/>
        <v>0.88443212986286035</v>
      </c>
      <c r="AA40" s="17">
        <v>0.92949999999999999</v>
      </c>
      <c r="AB40" s="17">
        <v>0.98260000000000003</v>
      </c>
      <c r="AC40" s="17">
        <f t="shared" si="66"/>
        <v>0.95531269285079234</v>
      </c>
      <c r="AD40" s="17">
        <v>0.94589999999999996</v>
      </c>
      <c r="AE40" s="17">
        <v>0.98229999999999995</v>
      </c>
      <c r="AF40" s="17">
        <f t="shared" si="56"/>
        <v>0.96375642568198316</v>
      </c>
      <c r="AG40" s="17">
        <v>0.95440000000000003</v>
      </c>
      <c r="AH40" s="17">
        <v>0.9728</v>
      </c>
      <c r="AI40" s="17">
        <f t="shared" si="57"/>
        <v>0.96351216272312157</v>
      </c>
      <c r="AJ40" s="15">
        <f t="shared" si="67"/>
        <v>0.90857500000000002</v>
      </c>
      <c r="AK40" s="15">
        <f t="shared" si="68"/>
        <v>0.97992499999999993</v>
      </c>
      <c r="AL40" s="15">
        <f>(Z40+AC40+AF40+AI40)/4</f>
        <v>0.9417533527796893</v>
      </c>
      <c r="AM40" s="15">
        <f t="shared" si="70"/>
        <v>2.5499999999999412E-3</v>
      </c>
      <c r="AN40" s="15">
        <f t="shared" si="71"/>
        <v>-1.7775000000000096E-2</v>
      </c>
      <c r="AO40" s="15">
        <f t="shared" si="72"/>
        <v>-6.6598519209445373E-3</v>
      </c>
      <c r="AP40" s="10" t="s">
        <v>9</v>
      </c>
    </row>
    <row r="41" spans="1:42" s="12" customFormat="1" x14ac:dyDescent="0.3">
      <c r="A41" s="32" t="s">
        <v>76</v>
      </c>
      <c r="B41" s="18"/>
      <c r="C41" s="23">
        <f t="shared" si="48"/>
        <v>0</v>
      </c>
      <c r="D41" s="17"/>
      <c r="E41" s="17"/>
      <c r="F41" s="17" t="e">
        <f t="shared" si="60"/>
        <v>#DIV/0!</v>
      </c>
      <c r="G41" s="17"/>
      <c r="H41" s="17"/>
      <c r="I41" s="17" t="e">
        <f t="shared" si="49"/>
        <v>#DIV/0!</v>
      </c>
      <c r="J41" s="17"/>
      <c r="K41" s="17"/>
      <c r="L41" s="17" t="e">
        <f t="shared" si="50"/>
        <v>#DIV/0!</v>
      </c>
      <c r="M41" s="17"/>
      <c r="N41" s="17"/>
      <c r="O41" s="17" t="e">
        <f t="shared" si="51"/>
        <v>#DIV/0!</v>
      </c>
      <c r="P41" s="15">
        <f t="shared" si="61"/>
        <v>0</v>
      </c>
      <c r="Q41" s="15">
        <f t="shared" si="62"/>
        <v>0</v>
      </c>
      <c r="R41" s="15" t="e">
        <f t="shared" si="63"/>
        <v>#DIV/0!</v>
      </c>
      <c r="S41" s="15">
        <f t="shared" si="64"/>
        <v>-0.89537500000000003</v>
      </c>
      <c r="T41" s="15">
        <f t="shared" si="53"/>
        <v>-0.99777499999999997</v>
      </c>
      <c r="U41" s="15" t="e">
        <f t="shared" si="53"/>
        <v>#DIV/0!</v>
      </c>
      <c r="V41" s="18"/>
      <c r="W41" s="23">
        <f t="shared" si="54"/>
        <v>0</v>
      </c>
      <c r="X41" s="17"/>
      <c r="Y41" s="17"/>
      <c r="Z41" s="17" t="e">
        <f t="shared" si="65"/>
        <v>#DIV/0!</v>
      </c>
      <c r="AA41" s="17"/>
      <c r="AB41" s="17"/>
      <c r="AC41" s="17" t="e">
        <f>2*((AA41*AB41)/(AA41+AB41))</f>
        <v>#DIV/0!</v>
      </c>
      <c r="AD41" s="17"/>
      <c r="AE41" s="17"/>
      <c r="AF41" s="17" t="e">
        <f t="shared" si="56"/>
        <v>#DIV/0!</v>
      </c>
      <c r="AG41" s="17"/>
      <c r="AH41" s="17"/>
      <c r="AI41" s="17" t="e">
        <f t="shared" si="57"/>
        <v>#DIV/0!</v>
      </c>
      <c r="AJ41" s="15">
        <f t="shared" si="67"/>
        <v>0</v>
      </c>
      <c r="AK41" s="15">
        <f t="shared" si="68"/>
        <v>0</v>
      </c>
      <c r="AL41" s="15" t="e">
        <f t="shared" si="69"/>
        <v>#DIV/0!</v>
      </c>
      <c r="AM41" s="15">
        <f t="shared" si="70"/>
        <v>-0.90602500000000008</v>
      </c>
      <c r="AN41" s="15">
        <f t="shared" si="71"/>
        <v>-0.99770000000000003</v>
      </c>
      <c r="AO41" s="15" t="e">
        <f t="shared" si="72"/>
        <v>#DIV/0!</v>
      </c>
      <c r="AP41" s="10" t="s">
        <v>77</v>
      </c>
    </row>
    <row r="42" spans="1:42" s="12" customFormat="1" x14ac:dyDescent="0.3">
      <c r="A42" s="33" t="s">
        <v>47</v>
      </c>
      <c r="B42" s="18">
        <v>100830366</v>
      </c>
      <c r="C42" s="23">
        <f t="shared" si="48"/>
        <v>0.40602778270253359</v>
      </c>
      <c r="D42" s="17">
        <v>0.7883</v>
      </c>
      <c r="E42" s="17">
        <v>0.99809999999999999</v>
      </c>
      <c r="F42" s="17">
        <f t="shared" si="60"/>
        <v>0.8808802395879981</v>
      </c>
      <c r="G42" s="17">
        <v>0.91659999999999997</v>
      </c>
      <c r="H42" s="17">
        <v>0.99780000000000002</v>
      </c>
      <c r="I42" s="17">
        <f t="shared" si="49"/>
        <v>0.9554779356456331</v>
      </c>
      <c r="J42" s="17">
        <v>0.93469999999999998</v>
      </c>
      <c r="K42" s="17">
        <v>0.99780000000000002</v>
      </c>
      <c r="L42" s="17">
        <f t="shared" si="50"/>
        <v>0.96521982923673988</v>
      </c>
      <c r="M42" s="17">
        <v>0.94710000000000005</v>
      </c>
      <c r="N42" s="17">
        <v>0.99729999999999996</v>
      </c>
      <c r="O42" s="17">
        <f t="shared" si="51"/>
        <v>0.97155197490228362</v>
      </c>
      <c r="P42" s="15">
        <f t="shared" si="61"/>
        <v>0.89667499999999989</v>
      </c>
      <c r="Q42" s="15">
        <f t="shared" si="62"/>
        <v>0.99775000000000003</v>
      </c>
      <c r="R42" s="15">
        <f t="shared" si="63"/>
        <v>0.94328249484316373</v>
      </c>
      <c r="S42" s="15">
        <f t="shared" si="64"/>
        <v>1.2999999999998568E-3</v>
      </c>
      <c r="T42" s="15">
        <f t="shared" si="53"/>
        <v>-2.4999999999941735E-5</v>
      </c>
      <c r="U42" s="15">
        <f t="shared" si="53"/>
        <v>7.7623120376024701E-4</v>
      </c>
      <c r="V42" s="18">
        <v>44840996</v>
      </c>
      <c r="W42" s="23">
        <f t="shared" si="54"/>
        <v>0.40728128973319117</v>
      </c>
      <c r="X42" s="17">
        <v>0.79079999999999995</v>
      </c>
      <c r="Y42" s="17">
        <v>0.99829999999999997</v>
      </c>
      <c r="Z42" s="17">
        <f t="shared" si="65"/>
        <v>0.88251706444581068</v>
      </c>
      <c r="AA42" s="17">
        <v>0.92720000000000002</v>
      </c>
      <c r="AB42" s="17">
        <v>0.99790000000000001</v>
      </c>
      <c r="AC42" s="17">
        <f t="shared" ref="AC42:AC44" si="73">2*((AA42*AB42)/(AA42+AB42))</f>
        <v>0.96125175835021559</v>
      </c>
      <c r="AD42" s="17">
        <v>0.94850000000000001</v>
      </c>
      <c r="AE42" s="17">
        <v>0.99739999999999995</v>
      </c>
      <c r="AF42" s="17">
        <f t="shared" si="56"/>
        <v>0.97233557736779896</v>
      </c>
      <c r="AG42" s="17">
        <v>0.95540000000000003</v>
      </c>
      <c r="AH42" s="17">
        <v>0.99719999999999998</v>
      </c>
      <c r="AI42" s="17">
        <f t="shared" si="57"/>
        <v>0.97585258629519622</v>
      </c>
      <c r="AJ42" s="15">
        <f t="shared" si="67"/>
        <v>0.90547500000000003</v>
      </c>
      <c r="AK42" s="15">
        <f t="shared" si="68"/>
        <v>0.99769999999999992</v>
      </c>
      <c r="AL42" s="15">
        <f t="shared" si="69"/>
        <v>0.94798924661475537</v>
      </c>
      <c r="AM42" s="15">
        <f t="shared" si="70"/>
        <v>-5.5000000000005045E-4</v>
      </c>
      <c r="AN42" s="15">
        <f t="shared" si="71"/>
        <v>0</v>
      </c>
      <c r="AO42" s="15">
        <f t="shared" si="72"/>
        <v>-4.2395808587847306E-4</v>
      </c>
      <c r="AP42" s="10" t="s">
        <v>9</v>
      </c>
    </row>
    <row r="43" spans="1:42" s="12" customFormat="1" x14ac:dyDescent="0.3">
      <c r="A43" s="33" t="s">
        <v>48</v>
      </c>
      <c r="B43" s="18">
        <v>58407264</v>
      </c>
      <c r="C43" s="23">
        <f t="shared" si="48"/>
        <v>0.23519672531627536</v>
      </c>
      <c r="D43" s="17">
        <v>0.78779999999999994</v>
      </c>
      <c r="E43" s="17">
        <v>0.998</v>
      </c>
      <c r="F43" s="17">
        <f t="shared" si="60"/>
        <v>0.88052906260499486</v>
      </c>
      <c r="G43" s="17">
        <v>0.91449999999999998</v>
      </c>
      <c r="H43" s="17">
        <v>0.99770000000000003</v>
      </c>
      <c r="I43" s="17">
        <f t="shared" si="49"/>
        <v>0.9542899801276018</v>
      </c>
      <c r="J43" s="17">
        <v>0.93369999999999997</v>
      </c>
      <c r="K43" s="17">
        <v>0.99770000000000003</v>
      </c>
      <c r="L43" s="17">
        <f t="shared" si="50"/>
        <v>0.96463962928445679</v>
      </c>
      <c r="M43" s="17">
        <v>0.94789999999999996</v>
      </c>
      <c r="N43" s="17">
        <v>0.99719999999999998</v>
      </c>
      <c r="O43" s="17">
        <f t="shared" si="51"/>
        <v>0.97192522749473031</v>
      </c>
      <c r="P43" s="15">
        <f t="shared" si="61"/>
        <v>0.89597499999999997</v>
      </c>
      <c r="Q43" s="15">
        <f t="shared" si="62"/>
        <v>0.99765000000000004</v>
      </c>
      <c r="R43" s="15">
        <f t="shared" si="63"/>
        <v>0.94284597487794586</v>
      </c>
      <c r="S43" s="15">
        <f t="shared" si="64"/>
        <v>5.9999999999993392E-4</v>
      </c>
      <c r="T43" s="15">
        <f t="shared" si="53"/>
        <v>-1.2499999999993072E-4</v>
      </c>
      <c r="U43" s="15">
        <f t="shared" si="53"/>
        <v>3.3971123854237284E-4</v>
      </c>
      <c r="V43" s="18">
        <v>23642566</v>
      </c>
      <c r="W43" s="23">
        <f t="shared" si="54"/>
        <v>0.21474043023223871</v>
      </c>
      <c r="X43" s="17" t="s">
        <v>9</v>
      </c>
      <c r="Y43" s="17" t="s">
        <v>9</v>
      </c>
      <c r="Z43" s="17" t="s">
        <v>9</v>
      </c>
      <c r="AA43" s="17" t="s">
        <v>9</v>
      </c>
      <c r="AB43" s="17" t="s">
        <v>9</v>
      </c>
      <c r="AC43" s="17" t="s">
        <v>9</v>
      </c>
      <c r="AD43" s="17" t="s">
        <v>9</v>
      </c>
      <c r="AE43" s="17" t="s">
        <v>9</v>
      </c>
      <c r="AF43" s="17" t="s">
        <v>9</v>
      </c>
      <c r="AG43" s="17" t="s">
        <v>9</v>
      </c>
      <c r="AH43" s="17" t="s">
        <v>9</v>
      </c>
      <c r="AI43" s="17" t="s">
        <v>9</v>
      </c>
      <c r="AJ43" s="17" t="s">
        <v>9</v>
      </c>
      <c r="AK43" s="17" t="s">
        <v>9</v>
      </c>
      <c r="AL43" s="17" t="s">
        <v>9</v>
      </c>
      <c r="AM43" s="17" t="s">
        <v>9</v>
      </c>
      <c r="AN43" s="17" t="s">
        <v>9</v>
      </c>
      <c r="AO43" s="17" t="s">
        <v>9</v>
      </c>
      <c r="AP43" s="10" t="s">
        <v>64</v>
      </c>
    </row>
    <row r="44" spans="1:42" s="12" customFormat="1" x14ac:dyDescent="0.3">
      <c r="A44" s="14" t="s">
        <v>49</v>
      </c>
      <c r="B44" s="16">
        <f>53644809+58235600</f>
        <v>111880409</v>
      </c>
      <c r="C44" s="24">
        <f t="shared" si="48"/>
        <v>0.45052454132837899</v>
      </c>
      <c r="D44" s="17">
        <v>0.78800000000000003</v>
      </c>
      <c r="E44" s="17">
        <v>0.998</v>
      </c>
      <c r="F44" s="17">
        <f t="shared" si="60"/>
        <v>0.88065397536394174</v>
      </c>
      <c r="G44" s="17">
        <v>0.91739999999999999</v>
      </c>
      <c r="H44" s="17">
        <v>0.99760000000000004</v>
      </c>
      <c r="I44" s="17">
        <f t="shared" si="49"/>
        <v>0.95582061618798964</v>
      </c>
      <c r="J44" s="17">
        <v>0.93840000000000001</v>
      </c>
      <c r="K44" s="17">
        <v>0.99750000000000005</v>
      </c>
      <c r="L44" s="17">
        <f t="shared" si="50"/>
        <v>0.96704788470478842</v>
      </c>
      <c r="M44" s="17">
        <v>0.95030000000000003</v>
      </c>
      <c r="N44" s="17">
        <v>0.99670000000000003</v>
      </c>
      <c r="O44" s="17">
        <f t="shared" si="51"/>
        <v>0.97294710837185416</v>
      </c>
      <c r="P44" s="15">
        <f t="shared" si="61"/>
        <v>0.89852500000000002</v>
      </c>
      <c r="Q44" s="15">
        <f t="shared" si="62"/>
        <v>0.99745000000000006</v>
      </c>
      <c r="R44" s="15">
        <f t="shared" si="63"/>
        <v>0.94411739615714352</v>
      </c>
      <c r="S44" s="15">
        <f t="shared" si="64"/>
        <v>3.1499999999999861E-3</v>
      </c>
      <c r="T44" s="15">
        <f t="shared" si="53"/>
        <v>-3.249999999999087E-4</v>
      </c>
      <c r="U44" s="15">
        <f t="shared" si="53"/>
        <v>1.6111325177400326E-3</v>
      </c>
      <c r="V44" s="16">
        <f>22297278+24336788</f>
        <v>46634066</v>
      </c>
      <c r="W44" s="24">
        <f t="shared" si="54"/>
        <v>0.42356736558623181</v>
      </c>
      <c r="X44" s="17">
        <v>0.81020000000000003</v>
      </c>
      <c r="Y44" s="17">
        <v>0.99770000000000003</v>
      </c>
      <c r="Z44" s="17">
        <f t="shared" si="65"/>
        <v>0.89422704795619234</v>
      </c>
      <c r="AA44" s="17">
        <v>0.92920000000000003</v>
      </c>
      <c r="AB44" s="17">
        <v>0.99739999999999995</v>
      </c>
      <c r="AC44" s="17">
        <f t="shared" si="73"/>
        <v>0.96209288902730195</v>
      </c>
      <c r="AD44" s="17">
        <v>0.94899999999999995</v>
      </c>
      <c r="AE44" s="17">
        <v>0.99719999999999998</v>
      </c>
      <c r="AF44" s="17">
        <f t="shared" si="56"/>
        <v>0.97250313431302016</v>
      </c>
      <c r="AG44" s="17">
        <v>0.95850000000000002</v>
      </c>
      <c r="AH44" s="17">
        <v>0.99629999999999996</v>
      </c>
      <c r="AI44" s="17">
        <f t="shared" si="57"/>
        <v>0.97703453038674026</v>
      </c>
      <c r="AJ44" s="15">
        <f t="shared" si="67"/>
        <v>0.91172500000000001</v>
      </c>
      <c r="AK44" s="15">
        <f t="shared" si="68"/>
        <v>0.99714999999999998</v>
      </c>
      <c r="AL44" s="15">
        <f t="shared" si="69"/>
        <v>0.95146440042081371</v>
      </c>
      <c r="AM44" s="15">
        <f t="shared" si="70"/>
        <v>5.6999999999999273E-3</v>
      </c>
      <c r="AN44" s="15">
        <f t="shared" si="71"/>
        <v>-5.5000000000005045E-4</v>
      </c>
      <c r="AO44" s="15">
        <f t="shared" si="72"/>
        <v>3.0511957201798667E-3</v>
      </c>
      <c r="AP44" s="13" t="s">
        <v>9</v>
      </c>
    </row>
    <row r="45" spans="1:42" x14ac:dyDescent="0.3">
      <c r="A45" s="7"/>
      <c r="B45" s="8"/>
      <c r="C45" s="8"/>
      <c r="D45" s="8"/>
      <c r="E45" s="8"/>
      <c r="F45" s="5"/>
      <c r="G45" s="8"/>
      <c r="H45" s="8"/>
      <c r="I45" s="5"/>
      <c r="J45" s="8"/>
      <c r="K45" s="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42" x14ac:dyDescent="0.3">
      <c r="A46" s="7"/>
      <c r="B46" s="8"/>
      <c r="C46" s="8"/>
      <c r="D46" s="8"/>
      <c r="E46" s="8"/>
      <c r="F46" s="5"/>
      <c r="G46" s="8"/>
      <c r="H46" s="8"/>
      <c r="I46" s="5"/>
      <c r="J46" s="8"/>
      <c r="K46" s="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42" x14ac:dyDescent="0.3">
      <c r="A47" s="7"/>
      <c r="B47" s="8"/>
      <c r="C47" s="8"/>
      <c r="D47" s="8"/>
      <c r="E47" s="8"/>
      <c r="F47" s="5"/>
      <c r="G47" s="8"/>
      <c r="H47" s="8"/>
      <c r="I47" s="5"/>
      <c r="J47" s="8"/>
      <c r="K47" s="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42" x14ac:dyDescent="0.3">
      <c r="A48" s="7"/>
      <c r="B48" s="8"/>
      <c r="C48" s="8"/>
      <c r="D48" s="8"/>
      <c r="E48" s="8"/>
      <c r="F48" s="5"/>
      <c r="G48" s="8"/>
      <c r="H48" s="8"/>
      <c r="I48" s="5"/>
      <c r="J48" s="8"/>
      <c r="K48" s="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">
      <c r="A49" s="7"/>
      <c r="B49" s="8"/>
      <c r="C49" s="8"/>
      <c r="D49" s="8"/>
      <c r="E49" s="8"/>
      <c r="F49" s="5"/>
      <c r="G49" s="8"/>
      <c r="H49" s="8"/>
      <c r="I49" s="5"/>
      <c r="J49" s="8"/>
      <c r="K49" s="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mergeCells count="63">
    <mergeCell ref="AM18:AO18"/>
    <mergeCell ref="AM33:AO33"/>
    <mergeCell ref="P33:R33"/>
    <mergeCell ref="AJ3:AL3"/>
    <mergeCell ref="AJ18:AL18"/>
    <mergeCell ref="AJ33:AL33"/>
    <mergeCell ref="S3:U3"/>
    <mergeCell ref="S18:U18"/>
    <mergeCell ref="S33:U33"/>
    <mergeCell ref="B32:U32"/>
    <mergeCell ref="B17:U17"/>
    <mergeCell ref="C33:C34"/>
    <mergeCell ref="W33:W34"/>
    <mergeCell ref="V33:V34"/>
    <mergeCell ref="X33:Z33"/>
    <mergeCell ref="A31:AP31"/>
    <mergeCell ref="B2:U2"/>
    <mergeCell ref="V2:AO2"/>
    <mergeCell ref="V17:AO17"/>
    <mergeCell ref="V32:AO32"/>
    <mergeCell ref="P3:R3"/>
    <mergeCell ref="P18:R18"/>
    <mergeCell ref="X18:Z18"/>
    <mergeCell ref="AA18:AC18"/>
    <mergeCell ref="AD18:AF18"/>
    <mergeCell ref="AG18:AI18"/>
    <mergeCell ref="AA3:AC3"/>
    <mergeCell ref="AD3:AF3"/>
    <mergeCell ref="AG3:AI3"/>
    <mergeCell ref="W18:W19"/>
    <mergeCell ref="W3:W4"/>
    <mergeCell ref="AM3:AO3"/>
    <mergeCell ref="A17:A19"/>
    <mergeCell ref="B3:B4"/>
    <mergeCell ref="B18:B19"/>
    <mergeCell ref="V3:V4"/>
    <mergeCell ref="V18:V19"/>
    <mergeCell ref="C3:C4"/>
    <mergeCell ref="C18:C19"/>
    <mergeCell ref="D18:F18"/>
    <mergeCell ref="G18:I18"/>
    <mergeCell ref="J18:L18"/>
    <mergeCell ref="M18:O18"/>
    <mergeCell ref="D3:F3"/>
    <mergeCell ref="G3:I3"/>
    <mergeCell ref="M3:O3"/>
    <mergeCell ref="J3:L3"/>
    <mergeCell ref="A1:AP1"/>
    <mergeCell ref="A16:AP16"/>
    <mergeCell ref="X3:Z3"/>
    <mergeCell ref="A2:A4"/>
    <mergeCell ref="A32:A34"/>
    <mergeCell ref="B33:B34"/>
    <mergeCell ref="D33:F33"/>
    <mergeCell ref="G33:I33"/>
    <mergeCell ref="J33:L33"/>
    <mergeCell ref="M33:O33"/>
    <mergeCell ref="AA33:AC33"/>
    <mergeCell ref="AD33:AF33"/>
    <mergeCell ref="AG33:AI33"/>
    <mergeCell ref="AP32:AP34"/>
    <mergeCell ref="AP2:AP4"/>
    <mergeCell ref="AP17:AP19"/>
  </mergeCells>
  <conditionalFormatting sqref="C5:C14 C20:C29 C35:C44 S5:U14 S20:U29 S35:U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4 C20:C29 C35:C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14 W20:W29 W35:W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:AO14 AM20:AO29 AM35:AO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2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4"/>
  <sheetViews>
    <sheetView zoomScaleNormal="100" workbookViewId="0">
      <selection activeCell="R42" sqref="R42"/>
    </sheetView>
  </sheetViews>
  <sheetFormatPr baseColWidth="10" defaultColWidth="8.77734375" defaultRowHeight="14.4" x14ac:dyDescent="0.3"/>
  <cols>
    <col min="1" max="1" width="19.77734375" bestFit="1" customWidth="1"/>
    <col min="2" max="2" width="15.77734375" bestFit="1" customWidth="1"/>
    <col min="3" max="3" width="9.5546875" bestFit="1" customWidth="1"/>
    <col min="7" max="9" width="8.77734375" style="12"/>
    <col min="10" max="10" width="15.77734375" bestFit="1" customWidth="1"/>
    <col min="11" max="11" width="9.5546875" bestFit="1" customWidth="1"/>
    <col min="15" max="17" width="8.77734375" style="12"/>
    <col min="18" max="18" width="8.5546875" bestFit="1" customWidth="1"/>
  </cols>
  <sheetData>
    <row r="1" spans="1:18" s="12" customFormat="1" ht="18" x14ac:dyDescent="0.35">
      <c r="A1" s="45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s="12" customFormat="1" x14ac:dyDescent="0.3">
      <c r="A2" s="48"/>
      <c r="B2" s="57" t="s">
        <v>15</v>
      </c>
      <c r="C2" s="58"/>
      <c r="D2" s="58"/>
      <c r="E2" s="58"/>
      <c r="F2" s="58"/>
      <c r="G2" s="58"/>
      <c r="H2" s="58"/>
      <c r="I2" s="59"/>
      <c r="J2" s="57" t="s">
        <v>14</v>
      </c>
      <c r="K2" s="58"/>
      <c r="L2" s="58"/>
      <c r="M2" s="58"/>
      <c r="N2" s="58"/>
      <c r="O2" s="58"/>
      <c r="P2" s="58"/>
      <c r="Q2" s="59"/>
      <c r="R2" s="53" t="s">
        <v>65</v>
      </c>
    </row>
    <row r="3" spans="1:18" s="12" customFormat="1" x14ac:dyDescent="0.3">
      <c r="A3" s="48"/>
      <c r="B3" s="72" t="s">
        <v>8</v>
      </c>
      <c r="C3" s="70" t="s">
        <v>46</v>
      </c>
      <c r="D3" s="47" t="s">
        <v>73</v>
      </c>
      <c r="E3" s="47"/>
      <c r="F3" s="47"/>
      <c r="G3" s="47" t="s">
        <v>71</v>
      </c>
      <c r="H3" s="47"/>
      <c r="I3" s="47"/>
      <c r="J3" s="53" t="s">
        <v>8</v>
      </c>
      <c r="K3" s="53" t="s">
        <v>46</v>
      </c>
      <c r="L3" s="47" t="s">
        <v>73</v>
      </c>
      <c r="M3" s="47"/>
      <c r="N3" s="47"/>
      <c r="O3" s="47" t="s">
        <v>71</v>
      </c>
      <c r="P3" s="47"/>
      <c r="Q3" s="47"/>
      <c r="R3" s="64"/>
    </row>
    <row r="4" spans="1:18" s="12" customFormat="1" x14ac:dyDescent="0.3">
      <c r="A4" s="48"/>
      <c r="B4" s="73"/>
      <c r="C4" s="71"/>
      <c r="D4" s="25" t="s">
        <v>75</v>
      </c>
      <c r="E4" s="25" t="s">
        <v>2</v>
      </c>
      <c r="F4" s="25" t="s">
        <v>3</v>
      </c>
      <c r="G4" s="41" t="s">
        <v>75</v>
      </c>
      <c r="H4" s="40" t="s">
        <v>2</v>
      </c>
      <c r="I4" s="40" t="s">
        <v>3</v>
      </c>
      <c r="J4" s="54"/>
      <c r="K4" s="54"/>
      <c r="L4" s="41" t="s">
        <v>75</v>
      </c>
      <c r="M4" s="25" t="s">
        <v>2</v>
      </c>
      <c r="N4" s="25" t="s">
        <v>3</v>
      </c>
      <c r="O4" s="41" t="s">
        <v>75</v>
      </c>
      <c r="P4" s="40" t="s">
        <v>2</v>
      </c>
      <c r="Q4" s="40" t="s">
        <v>3</v>
      </c>
      <c r="R4" s="54"/>
    </row>
    <row r="5" spans="1:18" s="12" customFormat="1" x14ac:dyDescent="0.3">
      <c r="A5" s="14" t="s">
        <v>0</v>
      </c>
      <c r="B5" s="16">
        <v>1402713277</v>
      </c>
      <c r="C5" s="24">
        <f>(B5/$B$5)*8</f>
        <v>8</v>
      </c>
      <c r="D5" s="17">
        <v>0.34010000000000001</v>
      </c>
      <c r="E5" s="17">
        <v>0.93799999999999994</v>
      </c>
      <c r="F5" s="15">
        <f>2*((D5*E5)/(D5+E5))</f>
        <v>0.49920006259291139</v>
      </c>
      <c r="G5" s="15">
        <f>D5-D$5</f>
        <v>0</v>
      </c>
      <c r="H5" s="15">
        <f>E5-E$5</f>
        <v>0</v>
      </c>
      <c r="I5" s="15">
        <f>F5-F$5</f>
        <v>0</v>
      </c>
      <c r="J5" s="16">
        <v>622751899</v>
      </c>
      <c r="K5" s="24">
        <f>(J5/$J$5)*8</f>
        <v>8</v>
      </c>
      <c r="L5" s="17">
        <v>0.3296</v>
      </c>
      <c r="M5" s="17">
        <v>0.93110000000000004</v>
      </c>
      <c r="N5" s="15">
        <f>2*((L5*M5)/(L5+M5))</f>
        <v>0.48685739668438177</v>
      </c>
      <c r="O5" s="15">
        <f>L5-L$5</f>
        <v>0</v>
      </c>
      <c r="P5" s="15">
        <f t="shared" ref="P5:Q5" si="0">M5-M$5</f>
        <v>0</v>
      </c>
      <c r="Q5" s="15">
        <f t="shared" si="0"/>
        <v>0</v>
      </c>
      <c r="R5" s="13" t="s">
        <v>9</v>
      </c>
    </row>
    <row r="6" spans="1:18" s="12" customFormat="1" x14ac:dyDescent="0.3">
      <c r="A6" s="14" t="s">
        <v>22</v>
      </c>
      <c r="B6" s="18">
        <v>346716840</v>
      </c>
      <c r="C6" s="24">
        <f t="shared" ref="C6:C14" si="1">(B6/$B$5)*8</f>
        <v>1.9774067626508964</v>
      </c>
      <c r="D6" s="17">
        <v>0.3397</v>
      </c>
      <c r="E6" s="17">
        <v>0.93810000000000004</v>
      </c>
      <c r="F6" s="17">
        <f t="shared" ref="F6:F14" si="2">2*((D6*E6)/(D6+E6))</f>
        <v>0.49878317420566604</v>
      </c>
      <c r="G6" s="15">
        <f t="shared" ref="G6:G14" si="3">D6-D$5</f>
        <v>-4.0000000000001146E-4</v>
      </c>
      <c r="H6" s="15">
        <f t="shared" ref="H6:H14" si="4">E6-E$5</f>
        <v>1.0000000000010001E-4</v>
      </c>
      <c r="I6" s="15">
        <f t="shared" ref="I6:I14" si="5">F6-F$5</f>
        <v>-4.1688838724535104E-4</v>
      </c>
      <c r="J6" s="16">
        <v>155988650</v>
      </c>
      <c r="K6" s="24">
        <f t="shared" ref="K6:K14" si="6">(J6/$J$5)*8</f>
        <v>2.0038625365958138</v>
      </c>
      <c r="L6" s="17">
        <v>0.32769999999999999</v>
      </c>
      <c r="M6" s="17">
        <v>0.93010000000000004</v>
      </c>
      <c r="N6" s="17">
        <f t="shared" ref="N6:N14" si="7">2*((L6*M6)/(L6+M6))</f>
        <v>0.48464584194625537</v>
      </c>
      <c r="O6" s="15">
        <f t="shared" ref="O6:O14" si="8">L6-L$5</f>
        <v>-1.9000000000000128E-3</v>
      </c>
      <c r="P6" s="15">
        <f t="shared" ref="P6:P14" si="9">M6-M$5</f>
        <v>-1.0000000000000009E-3</v>
      </c>
      <c r="Q6" s="15">
        <f t="shared" ref="Q6:Q14" si="10">N6-N$5</f>
        <v>-2.2115547381263978E-3</v>
      </c>
      <c r="R6" s="13" t="s">
        <v>9</v>
      </c>
    </row>
    <row r="7" spans="1:18" s="12" customFormat="1" x14ac:dyDescent="0.3">
      <c r="A7" s="14" t="s">
        <v>23</v>
      </c>
      <c r="B7" s="18">
        <v>273266584</v>
      </c>
      <c r="C7" s="24">
        <f t="shared" si="1"/>
        <v>1.5585028728576011</v>
      </c>
      <c r="D7" s="17">
        <v>0.34279999999999999</v>
      </c>
      <c r="E7" s="17">
        <v>0.93879999999999997</v>
      </c>
      <c r="F7" s="17">
        <f t="shared" si="2"/>
        <v>0.50221697877652927</v>
      </c>
      <c r="G7" s="15">
        <f t="shared" si="3"/>
        <v>2.6999999999999802E-3</v>
      </c>
      <c r="H7" s="15">
        <f t="shared" si="4"/>
        <v>8.0000000000002292E-4</v>
      </c>
      <c r="I7" s="15">
        <f t="shared" si="5"/>
        <v>3.0169161836178793E-3</v>
      </c>
      <c r="J7" s="16">
        <v>122833357</v>
      </c>
      <c r="K7" s="24">
        <f t="shared" si="6"/>
        <v>1.5779427691476215</v>
      </c>
      <c r="L7" s="17">
        <v>0.3301</v>
      </c>
      <c r="M7" s="17">
        <v>0.93049999999999999</v>
      </c>
      <c r="N7" s="17">
        <f t="shared" si="7"/>
        <v>0.48732040298270668</v>
      </c>
      <c r="O7" s="15">
        <f t="shared" si="8"/>
        <v>5.0000000000000044E-4</v>
      </c>
      <c r="P7" s="15">
        <f t="shared" si="9"/>
        <v>-6.0000000000004494E-4</v>
      </c>
      <c r="Q7" s="15">
        <f t="shared" si="10"/>
        <v>4.6300629832490836E-4</v>
      </c>
      <c r="R7" s="13" t="s">
        <v>9</v>
      </c>
    </row>
    <row r="8" spans="1:18" s="12" customFormat="1" x14ac:dyDescent="0.3">
      <c r="A8" s="32" t="s">
        <v>24</v>
      </c>
      <c r="B8" s="18">
        <v>198709595</v>
      </c>
      <c r="C8" s="23">
        <f t="shared" si="1"/>
        <v>1.1332870274100928</v>
      </c>
      <c r="D8" s="17">
        <v>0.34289999999999998</v>
      </c>
      <c r="E8" s="17">
        <v>0.93630000000000002</v>
      </c>
      <c r="F8" s="17">
        <f t="shared" si="2"/>
        <v>0.501965712945591</v>
      </c>
      <c r="G8" s="15">
        <f t="shared" si="3"/>
        <v>2.7999999999999692E-3</v>
      </c>
      <c r="H8" s="15">
        <f t="shared" si="4"/>
        <v>-1.6999999999999238E-3</v>
      </c>
      <c r="I8" s="15">
        <f t="shared" si="5"/>
        <v>2.7656503526796161E-3</v>
      </c>
      <c r="J8" s="18">
        <v>89402714</v>
      </c>
      <c r="K8" s="23">
        <f t="shared" si="6"/>
        <v>1.1484857985154053</v>
      </c>
      <c r="L8" s="17">
        <v>0.33090000000000003</v>
      </c>
      <c r="M8" s="17">
        <v>0.92749999999999999</v>
      </c>
      <c r="N8" s="17">
        <f t="shared" si="7"/>
        <v>0.48777773363000643</v>
      </c>
      <c r="O8" s="15">
        <f t="shared" si="8"/>
        <v>1.3000000000000234E-3</v>
      </c>
      <c r="P8" s="15">
        <f t="shared" si="9"/>
        <v>-3.6000000000000476E-3</v>
      </c>
      <c r="Q8" s="15">
        <f t="shared" si="10"/>
        <v>9.2033694562465573E-4</v>
      </c>
      <c r="R8" s="10" t="s">
        <v>9</v>
      </c>
    </row>
    <row r="9" spans="1:18" s="12" customFormat="1" x14ac:dyDescent="0.3">
      <c r="A9" s="32" t="s">
        <v>25</v>
      </c>
      <c r="B9" s="18">
        <v>121742167</v>
      </c>
      <c r="C9" s="23">
        <f t="shared" si="1"/>
        <v>0.69432388783185373</v>
      </c>
      <c r="D9" s="17">
        <v>0.34420000000000001</v>
      </c>
      <c r="E9" s="17">
        <v>0.9365</v>
      </c>
      <c r="F9" s="17">
        <f t="shared" si="2"/>
        <v>0.50338611696728353</v>
      </c>
      <c r="G9" s="15">
        <f t="shared" si="3"/>
        <v>4.0999999999999925E-3</v>
      </c>
      <c r="H9" s="15">
        <f t="shared" si="4"/>
        <v>-1.4999999999999458E-3</v>
      </c>
      <c r="I9" s="15">
        <f t="shared" si="5"/>
        <v>4.186054374372139E-3</v>
      </c>
      <c r="J9" s="18">
        <v>55420782</v>
      </c>
      <c r="K9" s="23">
        <f t="shared" si="6"/>
        <v>0.71194685509903199</v>
      </c>
      <c r="L9" s="17">
        <v>0.33179999999999998</v>
      </c>
      <c r="M9" s="17">
        <v>0.92759999999999998</v>
      </c>
      <c r="N9" s="17">
        <f t="shared" si="7"/>
        <v>0.48876874702239165</v>
      </c>
      <c r="O9" s="15">
        <f t="shared" si="8"/>
        <v>2.1999999999999797E-3</v>
      </c>
      <c r="P9" s="15">
        <f t="shared" si="9"/>
        <v>-3.5000000000000586E-3</v>
      </c>
      <c r="Q9" s="15">
        <f t="shared" si="10"/>
        <v>1.9113503380098762E-3</v>
      </c>
      <c r="R9" s="10" t="s">
        <v>9</v>
      </c>
    </row>
    <row r="10" spans="1:18" s="12" customFormat="1" x14ac:dyDescent="0.3">
      <c r="A10" s="32" t="s">
        <v>26</v>
      </c>
      <c r="B10" s="18">
        <v>60751253</v>
      </c>
      <c r="C10" s="23">
        <f t="shared" si="1"/>
        <v>0.34647852270952734</v>
      </c>
      <c r="D10" s="17">
        <v>0.34439999999999998</v>
      </c>
      <c r="E10" s="17">
        <v>0.93720000000000003</v>
      </c>
      <c r="F10" s="17">
        <f t="shared" si="2"/>
        <v>0.50370112359550556</v>
      </c>
      <c r="G10" s="15">
        <f t="shared" si="3"/>
        <v>4.2999999999999705E-3</v>
      </c>
      <c r="H10" s="15">
        <f t="shared" si="4"/>
        <v>-7.9999999999991189E-4</v>
      </c>
      <c r="I10" s="15">
        <f t="shared" si="5"/>
        <v>4.5010610025941755E-3</v>
      </c>
      <c r="J10" s="18">
        <v>28272006</v>
      </c>
      <c r="K10" s="23">
        <f t="shared" si="6"/>
        <v>0.36318805027040152</v>
      </c>
      <c r="L10" s="17">
        <v>0.33139999999999997</v>
      </c>
      <c r="M10" s="17">
        <v>0.9284</v>
      </c>
      <c r="N10" s="17">
        <f t="shared" si="7"/>
        <v>0.48844540403238601</v>
      </c>
      <c r="O10" s="15">
        <f t="shared" si="8"/>
        <v>1.7999999999999683E-3</v>
      </c>
      <c r="P10" s="15">
        <f t="shared" si="9"/>
        <v>-2.7000000000000357E-3</v>
      </c>
      <c r="Q10" s="15">
        <f t="shared" si="10"/>
        <v>1.5880073480042389E-3</v>
      </c>
      <c r="R10" s="10" t="s">
        <v>9</v>
      </c>
    </row>
    <row r="11" spans="1:18" s="12" customFormat="1" x14ac:dyDescent="0.3">
      <c r="A11" s="32" t="s">
        <v>76</v>
      </c>
      <c r="B11" s="18"/>
      <c r="C11" s="23">
        <f t="shared" si="1"/>
        <v>0</v>
      </c>
      <c r="D11" s="17"/>
      <c r="E11" s="17"/>
      <c r="F11" s="17" t="e">
        <f t="shared" si="2"/>
        <v>#DIV/0!</v>
      </c>
      <c r="G11" s="15">
        <f t="shared" si="3"/>
        <v>-0.34010000000000001</v>
      </c>
      <c r="H11" s="15">
        <f t="shared" si="4"/>
        <v>-0.93799999999999994</v>
      </c>
      <c r="I11" s="15" t="e">
        <f t="shared" si="5"/>
        <v>#DIV/0!</v>
      </c>
      <c r="J11" s="18"/>
      <c r="K11" s="23">
        <f t="shared" si="6"/>
        <v>0</v>
      </c>
      <c r="L11" s="17"/>
      <c r="M11" s="17"/>
      <c r="N11" s="17" t="e">
        <f t="shared" si="7"/>
        <v>#DIV/0!</v>
      </c>
      <c r="O11" s="15">
        <f t="shared" si="8"/>
        <v>-0.3296</v>
      </c>
      <c r="P11" s="15">
        <f t="shared" si="9"/>
        <v>-0.93110000000000004</v>
      </c>
      <c r="Q11" s="15" t="e">
        <f t="shared" si="10"/>
        <v>#DIV/0!</v>
      </c>
      <c r="R11" s="10" t="s">
        <v>77</v>
      </c>
    </row>
    <row r="12" spans="1:18" s="12" customFormat="1" x14ac:dyDescent="0.3">
      <c r="A12" s="33" t="s">
        <v>47</v>
      </c>
      <c r="B12" s="34">
        <v>642683176</v>
      </c>
      <c r="C12" s="23">
        <f t="shared" si="1"/>
        <v>3.6653715996729672</v>
      </c>
      <c r="D12" s="17">
        <v>0.34050000000000002</v>
      </c>
      <c r="E12" s="17">
        <v>0.9385</v>
      </c>
      <c r="F12" s="17">
        <f t="shared" si="2"/>
        <v>0.49970172009382335</v>
      </c>
      <c r="G12" s="15">
        <f t="shared" si="3"/>
        <v>4.0000000000001146E-4</v>
      </c>
      <c r="H12" s="15">
        <f t="shared" si="4"/>
        <v>5.0000000000005596E-4</v>
      </c>
      <c r="I12" s="15">
        <f t="shared" si="5"/>
        <v>5.0165750091196726E-4</v>
      </c>
      <c r="J12" s="34">
        <v>286005859</v>
      </c>
      <c r="K12" s="23">
        <f t="shared" si="6"/>
        <v>3.6740905578515144</v>
      </c>
      <c r="L12" s="17">
        <v>0.32990000000000003</v>
      </c>
      <c r="M12" s="17">
        <v>0.93120000000000003</v>
      </c>
      <c r="N12" s="17">
        <f t="shared" si="7"/>
        <v>0.48719828720957892</v>
      </c>
      <c r="O12" s="15">
        <f t="shared" si="8"/>
        <v>3.0000000000002247E-4</v>
      </c>
      <c r="P12" s="15">
        <f t="shared" si="9"/>
        <v>9.9999999999988987E-5</v>
      </c>
      <c r="Q12" s="15">
        <f t="shared" si="10"/>
        <v>3.4089052519714613E-4</v>
      </c>
      <c r="R12" s="10" t="s">
        <v>9</v>
      </c>
    </row>
    <row r="13" spans="1:18" s="12" customFormat="1" x14ac:dyDescent="0.3">
      <c r="A13" s="33" t="s">
        <v>48</v>
      </c>
      <c r="B13" s="34">
        <v>570828844</v>
      </c>
      <c r="C13" s="23">
        <f t="shared" si="1"/>
        <v>3.2555696355613808</v>
      </c>
      <c r="D13" s="17">
        <v>0.34239999999999998</v>
      </c>
      <c r="E13" s="17">
        <v>0.94069999999999998</v>
      </c>
      <c r="F13" s="17">
        <f t="shared" si="2"/>
        <v>0.50205857688410882</v>
      </c>
      <c r="G13" s="15">
        <f t="shared" si="3"/>
        <v>2.2999999999999687E-3</v>
      </c>
      <c r="H13" s="15">
        <f t="shared" si="4"/>
        <v>2.7000000000000357E-3</v>
      </c>
      <c r="I13" s="15">
        <f t="shared" si="5"/>
        <v>2.8585142911974337E-3</v>
      </c>
      <c r="J13" s="34">
        <v>254275065</v>
      </c>
      <c r="K13" s="23">
        <f t="shared" si="6"/>
        <v>3.2664701998765002</v>
      </c>
      <c r="L13" s="17">
        <v>0.33239999999999997</v>
      </c>
      <c r="M13" s="17">
        <v>0.9335</v>
      </c>
      <c r="N13" s="17">
        <f t="shared" si="7"/>
        <v>0.49023682755351922</v>
      </c>
      <c r="O13" s="15">
        <f t="shared" si="8"/>
        <v>2.7999999999999692E-3</v>
      </c>
      <c r="P13" s="15">
        <f t="shared" si="9"/>
        <v>2.3999999999999577E-3</v>
      </c>
      <c r="Q13" s="15">
        <f t="shared" si="10"/>
        <v>3.3794308691374453E-3</v>
      </c>
      <c r="R13" s="10" t="s">
        <v>9</v>
      </c>
    </row>
    <row r="14" spans="1:18" s="12" customFormat="1" x14ac:dyDescent="0.3">
      <c r="A14" s="32" t="s">
        <v>49</v>
      </c>
      <c r="B14" s="18">
        <v>247127738</v>
      </c>
      <c r="C14" s="23">
        <f t="shared" si="1"/>
        <v>1.4094269558981296</v>
      </c>
      <c r="D14" s="17">
        <v>0.37630000000000002</v>
      </c>
      <c r="E14" s="17">
        <v>0.92979999999999996</v>
      </c>
      <c r="F14" s="17">
        <f t="shared" si="2"/>
        <v>0.53576868539928024</v>
      </c>
      <c r="G14" s="15">
        <f t="shared" si="3"/>
        <v>3.620000000000001E-2</v>
      </c>
      <c r="H14" s="15">
        <f t="shared" si="4"/>
        <v>-8.1999999999999851E-3</v>
      </c>
      <c r="I14" s="15">
        <f t="shared" si="5"/>
        <v>3.6568622806368856E-2</v>
      </c>
      <c r="J14" s="18">
        <v>108111613</v>
      </c>
      <c r="K14" s="23">
        <f t="shared" si="6"/>
        <v>1.3888241936938679</v>
      </c>
      <c r="L14" s="17">
        <v>0.36230000000000001</v>
      </c>
      <c r="M14" s="17">
        <v>0.92190000000000005</v>
      </c>
      <c r="N14" s="17">
        <f t="shared" si="7"/>
        <v>0.5201750038934746</v>
      </c>
      <c r="O14" s="15">
        <f t="shared" si="8"/>
        <v>3.2700000000000007E-2</v>
      </c>
      <c r="P14" s="15">
        <f t="shared" si="9"/>
        <v>-9.199999999999986E-3</v>
      </c>
      <c r="Q14" s="15">
        <f t="shared" si="10"/>
        <v>3.3317607209092825E-2</v>
      </c>
      <c r="R14" s="10" t="s">
        <v>9</v>
      </c>
    </row>
    <row r="15" spans="1:18" s="12" customFormat="1" ht="36" customHeight="1" x14ac:dyDescent="0.3">
      <c r="A15" s="35"/>
      <c r="B15" s="36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</row>
    <row r="16" spans="1:18" s="12" customFormat="1" ht="18" x14ac:dyDescent="0.35">
      <c r="A16" s="46" t="s">
        <v>60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spans="1:18" s="12" customFormat="1" x14ac:dyDescent="0.3">
      <c r="A17" s="49"/>
      <c r="B17" s="60" t="s">
        <v>15</v>
      </c>
      <c r="C17" s="61"/>
      <c r="D17" s="61"/>
      <c r="E17" s="61"/>
      <c r="F17" s="61"/>
      <c r="G17" s="61"/>
      <c r="H17" s="61"/>
      <c r="I17" s="62"/>
      <c r="J17" s="67" t="s">
        <v>14</v>
      </c>
      <c r="K17" s="68"/>
      <c r="L17" s="68"/>
      <c r="M17" s="68"/>
      <c r="N17" s="68"/>
      <c r="O17" s="68"/>
      <c r="P17" s="68"/>
      <c r="Q17" s="69"/>
      <c r="R17" s="55" t="s">
        <v>65</v>
      </c>
    </row>
    <row r="18" spans="1:18" s="12" customFormat="1" x14ac:dyDescent="0.3">
      <c r="A18" s="49"/>
      <c r="B18" s="74" t="s">
        <v>8</v>
      </c>
      <c r="C18" s="76" t="s">
        <v>46</v>
      </c>
      <c r="D18" s="47" t="s">
        <v>73</v>
      </c>
      <c r="E18" s="47"/>
      <c r="F18" s="47"/>
      <c r="G18" s="47" t="s">
        <v>71</v>
      </c>
      <c r="H18" s="47"/>
      <c r="I18" s="47"/>
      <c r="J18" s="55" t="s">
        <v>8</v>
      </c>
      <c r="K18" s="55" t="s">
        <v>46</v>
      </c>
      <c r="L18" s="47" t="s">
        <v>73</v>
      </c>
      <c r="M18" s="47"/>
      <c r="N18" s="47"/>
      <c r="O18" s="47" t="s">
        <v>71</v>
      </c>
      <c r="P18" s="47"/>
      <c r="Q18" s="47"/>
      <c r="R18" s="66"/>
    </row>
    <row r="19" spans="1:18" s="12" customFormat="1" x14ac:dyDescent="0.3">
      <c r="A19" s="49"/>
      <c r="B19" s="75"/>
      <c r="C19" s="77"/>
      <c r="D19" s="41" t="s">
        <v>75</v>
      </c>
      <c r="E19" s="40" t="s">
        <v>2</v>
      </c>
      <c r="F19" s="40" t="s">
        <v>3</v>
      </c>
      <c r="G19" s="41" t="s">
        <v>75</v>
      </c>
      <c r="H19" s="40" t="s">
        <v>2</v>
      </c>
      <c r="I19" s="40" t="s">
        <v>3</v>
      </c>
      <c r="J19" s="56"/>
      <c r="K19" s="56"/>
      <c r="L19" s="41" t="s">
        <v>75</v>
      </c>
      <c r="M19" s="40" t="s">
        <v>2</v>
      </c>
      <c r="N19" s="40" t="s">
        <v>3</v>
      </c>
      <c r="O19" s="41" t="s">
        <v>75</v>
      </c>
      <c r="P19" s="40" t="s">
        <v>2</v>
      </c>
      <c r="Q19" s="40" t="s">
        <v>3</v>
      </c>
      <c r="R19" s="56"/>
    </row>
    <row r="20" spans="1:18" s="12" customFormat="1" x14ac:dyDescent="0.3">
      <c r="A20" s="32" t="s">
        <v>0</v>
      </c>
      <c r="B20" s="18">
        <v>6696582269</v>
      </c>
      <c r="C20" s="23">
        <f>(B20/$B$20)*8</f>
        <v>8</v>
      </c>
      <c r="D20" s="17">
        <v>0.86760000000000004</v>
      </c>
      <c r="E20" s="17">
        <v>0.99950000000000006</v>
      </c>
      <c r="F20" s="17">
        <f t="shared" ref="F20:F29" si="11">2*((D20*E20)/(D20+E20))</f>
        <v>0.92889100744470032</v>
      </c>
      <c r="G20" s="15">
        <f>D20-D$20</f>
        <v>0</v>
      </c>
      <c r="H20" s="15">
        <f t="shared" ref="H20:I20" si="12">E20-E$20</f>
        <v>0</v>
      </c>
      <c r="I20" s="15">
        <f t="shared" si="12"/>
        <v>0</v>
      </c>
      <c r="J20" s="18">
        <v>3017194085</v>
      </c>
      <c r="K20" s="23">
        <f>(J20/$J$20)*8</f>
        <v>8</v>
      </c>
      <c r="L20" s="17">
        <v>0.89129999999999998</v>
      </c>
      <c r="M20" s="17">
        <v>0.99939999999999996</v>
      </c>
      <c r="N20" s="17">
        <f t="shared" ref="N20:N29" si="13">2*((L20*M20)/(L20+M20))</f>
        <v>0.94225971333368597</v>
      </c>
      <c r="O20" s="15">
        <f>L20-L$20</f>
        <v>0</v>
      </c>
      <c r="P20" s="15">
        <f t="shared" ref="P20" si="14">M20-M$20</f>
        <v>0</v>
      </c>
      <c r="Q20" s="15">
        <f>N20-N$20</f>
        <v>0</v>
      </c>
      <c r="R20" s="10" t="s">
        <v>9</v>
      </c>
    </row>
    <row r="21" spans="1:18" s="12" customFormat="1" x14ac:dyDescent="0.3">
      <c r="A21" s="32" t="s">
        <v>22</v>
      </c>
      <c r="B21" s="18">
        <v>814504450</v>
      </c>
      <c r="C21" s="23">
        <f t="shared" ref="C21:C29" si="15">(B21/$B$20)*8</f>
        <v>0.97303898290986557</v>
      </c>
      <c r="D21" s="17">
        <v>0.86760000000000004</v>
      </c>
      <c r="E21" s="17">
        <v>0.99950000000000006</v>
      </c>
      <c r="F21" s="17">
        <f t="shared" si="11"/>
        <v>0.92889100744470032</v>
      </c>
      <c r="G21" s="15">
        <f t="shared" ref="G21:G29" si="16">D21-D$20</f>
        <v>0</v>
      </c>
      <c r="H21" s="15">
        <f t="shared" ref="H21:H29" si="17">E21-E$20</f>
        <v>0</v>
      </c>
      <c r="I21" s="15">
        <f t="shared" ref="I21:I29" si="18">F21-F$20</f>
        <v>0</v>
      </c>
      <c r="J21" s="18">
        <v>383733965</v>
      </c>
      <c r="K21" s="23">
        <f t="shared" ref="K21:K29" si="19">(J21/$J$20)*8</f>
        <v>1.0174591469809275</v>
      </c>
      <c r="L21" s="17">
        <v>0.89139999999999997</v>
      </c>
      <c r="M21" s="17">
        <v>0.99929999999999997</v>
      </c>
      <c r="N21" s="17">
        <f t="shared" si="13"/>
        <v>0.94227113767387738</v>
      </c>
      <c r="O21" s="15">
        <f t="shared" ref="O21:O29" si="20">L21-L$20</f>
        <v>9.9999999999988987E-5</v>
      </c>
      <c r="P21" s="15">
        <f t="shared" ref="P21:P29" si="21">M21-M$20</f>
        <v>-9.9999999999988987E-5</v>
      </c>
      <c r="Q21" s="15">
        <f t="shared" ref="Q21:Q29" si="22">N21-N$20</f>
        <v>1.1424340191412696E-5</v>
      </c>
      <c r="R21" s="10" t="s">
        <v>9</v>
      </c>
    </row>
    <row r="22" spans="1:18" s="12" customFormat="1" x14ac:dyDescent="0.3">
      <c r="A22" s="32" t="s">
        <v>23</v>
      </c>
      <c r="B22" s="18">
        <v>583280511</v>
      </c>
      <c r="C22" s="23">
        <f t="shared" si="15"/>
        <v>0.69680979051076597</v>
      </c>
      <c r="D22" s="17">
        <v>0.86780000000000002</v>
      </c>
      <c r="E22" s="17">
        <v>0.99950000000000006</v>
      </c>
      <c r="F22" s="17">
        <f t="shared" si="11"/>
        <v>0.92900562309216506</v>
      </c>
      <c r="G22" s="15">
        <f t="shared" si="16"/>
        <v>1.9999999999997797E-4</v>
      </c>
      <c r="H22" s="15">
        <f t="shared" si="17"/>
        <v>0</v>
      </c>
      <c r="I22" s="15">
        <f t="shared" si="18"/>
        <v>1.1461564746473307E-4</v>
      </c>
      <c r="J22" s="18">
        <v>277566711</v>
      </c>
      <c r="K22" s="23">
        <f t="shared" si="19"/>
        <v>0.73595984396210956</v>
      </c>
      <c r="L22" s="17">
        <v>0.89139999999999997</v>
      </c>
      <c r="M22" s="17">
        <v>0.99919999999999998</v>
      </c>
      <c r="N22" s="17">
        <f t="shared" si="13"/>
        <v>0.94222667936104931</v>
      </c>
      <c r="O22" s="15">
        <f t="shared" si="20"/>
        <v>9.9999999999988987E-5</v>
      </c>
      <c r="P22" s="15">
        <f t="shared" si="21"/>
        <v>-1.9999999999997797E-4</v>
      </c>
      <c r="Q22" s="15">
        <f t="shared" si="22"/>
        <v>-3.303397263665353E-5</v>
      </c>
      <c r="R22" s="10" t="s">
        <v>9</v>
      </c>
    </row>
    <row r="23" spans="1:18" s="12" customFormat="1" x14ac:dyDescent="0.3">
      <c r="A23" s="32" t="s">
        <v>24</v>
      </c>
      <c r="B23" s="18">
        <v>369338993</v>
      </c>
      <c r="C23" s="23">
        <f t="shared" si="15"/>
        <v>0.44122685652321969</v>
      </c>
      <c r="D23" s="17">
        <v>0.8679</v>
      </c>
      <c r="E23" s="17">
        <v>0.99939999999999996</v>
      </c>
      <c r="F23" s="17">
        <f t="shared" si="11"/>
        <v>0.92901971830985919</v>
      </c>
      <c r="G23" s="15">
        <f t="shared" si="16"/>
        <v>2.9999999999996696E-4</v>
      </c>
      <c r="H23" s="15">
        <f t="shared" si="17"/>
        <v>-1.0000000000010001E-4</v>
      </c>
      <c r="I23" s="15">
        <f t="shared" si="18"/>
        <v>1.2871086515886532E-4</v>
      </c>
      <c r="J23" s="18">
        <v>175908797</v>
      </c>
      <c r="K23" s="23">
        <f t="shared" si="19"/>
        <v>0.46641692127008133</v>
      </c>
      <c r="L23" s="17">
        <v>0.89159999999999995</v>
      </c>
      <c r="M23" s="17">
        <v>0.99939999999999996</v>
      </c>
      <c r="N23" s="17">
        <f t="shared" si="13"/>
        <v>0.94242732945531449</v>
      </c>
      <c r="O23" s="15">
        <f t="shared" si="20"/>
        <v>2.9999999999996696E-4</v>
      </c>
      <c r="P23" s="15">
        <f t="shared" si="21"/>
        <v>0</v>
      </c>
      <c r="Q23" s="15">
        <f t="shared" si="22"/>
        <v>1.6761612162852213E-4</v>
      </c>
      <c r="R23" s="10" t="s">
        <v>9</v>
      </c>
    </row>
    <row r="24" spans="1:18" s="12" customFormat="1" x14ac:dyDescent="0.3">
      <c r="A24" s="32" t="s">
        <v>25</v>
      </c>
      <c r="B24" s="18">
        <v>259975714</v>
      </c>
      <c r="C24" s="23">
        <f t="shared" si="15"/>
        <v>0.31057719123796818</v>
      </c>
      <c r="D24" s="17">
        <v>0.8679</v>
      </c>
      <c r="E24" s="17">
        <v>0.99939999999999996</v>
      </c>
      <c r="F24" s="17">
        <f t="shared" si="11"/>
        <v>0.92901971830985919</v>
      </c>
      <c r="G24" s="15">
        <f t="shared" si="16"/>
        <v>2.9999999999996696E-4</v>
      </c>
      <c r="H24" s="15">
        <f t="shared" si="17"/>
        <v>-1.0000000000010001E-4</v>
      </c>
      <c r="I24" s="15">
        <f t="shared" si="18"/>
        <v>1.2871086515886532E-4</v>
      </c>
      <c r="J24" s="18">
        <v>125973247</v>
      </c>
      <c r="K24" s="23">
        <f t="shared" si="19"/>
        <v>0.33401430190063491</v>
      </c>
      <c r="L24" s="17">
        <v>0.89119999999999999</v>
      </c>
      <c r="M24" s="17">
        <v>0.99929999999999997</v>
      </c>
      <c r="N24" s="17">
        <f t="shared" si="13"/>
        <v>0.94215938640571284</v>
      </c>
      <c r="O24" s="15">
        <f t="shared" si="20"/>
        <v>-9.9999999999988987E-5</v>
      </c>
      <c r="P24" s="15">
        <f t="shared" si="21"/>
        <v>-9.9999999999988987E-5</v>
      </c>
      <c r="Q24" s="15">
        <f t="shared" si="22"/>
        <v>-1.003269279731267E-4</v>
      </c>
      <c r="R24" s="10" t="s">
        <v>9</v>
      </c>
    </row>
    <row r="25" spans="1:18" s="12" customFormat="1" x14ac:dyDescent="0.3">
      <c r="A25" s="32" t="s">
        <v>26</v>
      </c>
      <c r="B25" s="18">
        <v>152385057</v>
      </c>
      <c r="C25" s="23">
        <f t="shared" si="15"/>
        <v>0.18204516976419452</v>
      </c>
      <c r="D25" s="17">
        <v>0.86870000000000003</v>
      </c>
      <c r="E25" s="17">
        <v>0.999</v>
      </c>
      <c r="F25" s="17">
        <f t="shared" si="11"/>
        <v>0.92930481340686399</v>
      </c>
      <c r="G25" s="15">
        <f t="shared" si="16"/>
        <v>1.0999999999999899E-3</v>
      </c>
      <c r="H25" s="15">
        <f t="shared" si="17"/>
        <v>-5.0000000000005596E-4</v>
      </c>
      <c r="I25" s="15">
        <f t="shared" si="18"/>
        <v>4.1380596216367138E-4</v>
      </c>
      <c r="J25" s="18">
        <v>74727311</v>
      </c>
      <c r="K25" s="23">
        <f t="shared" si="19"/>
        <v>0.19813723319028712</v>
      </c>
      <c r="L25" s="17">
        <v>0.8921</v>
      </c>
      <c r="M25" s="17">
        <v>0.999</v>
      </c>
      <c r="N25" s="17">
        <f t="shared" si="13"/>
        <v>0.94252858124900851</v>
      </c>
      <c r="O25" s="15">
        <f t="shared" si="20"/>
        <v>8.0000000000002292E-4</v>
      </c>
      <c r="P25" s="15">
        <f t="shared" si="21"/>
        <v>-3.9999999999995595E-4</v>
      </c>
      <c r="Q25" s="15">
        <f>N25-N$20</f>
        <v>2.6886791532254595E-4</v>
      </c>
      <c r="R25" s="10" t="s">
        <v>9</v>
      </c>
    </row>
    <row r="26" spans="1:18" s="12" customFormat="1" x14ac:dyDescent="0.3">
      <c r="A26" s="32" t="s">
        <v>76</v>
      </c>
      <c r="B26" s="18"/>
      <c r="C26" s="23">
        <f t="shared" si="15"/>
        <v>0</v>
      </c>
      <c r="D26" s="17"/>
      <c r="E26" s="17"/>
      <c r="F26" s="17" t="e">
        <f t="shared" si="11"/>
        <v>#DIV/0!</v>
      </c>
      <c r="G26" s="15">
        <f t="shared" si="16"/>
        <v>-0.86760000000000004</v>
      </c>
      <c r="H26" s="15">
        <f t="shared" si="17"/>
        <v>-0.99950000000000006</v>
      </c>
      <c r="I26" s="15" t="e">
        <f t="shared" si="18"/>
        <v>#DIV/0!</v>
      </c>
      <c r="J26" s="18"/>
      <c r="K26" s="23">
        <f t="shared" si="19"/>
        <v>0</v>
      </c>
      <c r="L26" s="17"/>
      <c r="M26" s="17"/>
      <c r="N26" s="17" t="e">
        <f t="shared" si="13"/>
        <v>#DIV/0!</v>
      </c>
      <c r="O26" s="15">
        <f t="shared" si="20"/>
        <v>-0.89129999999999998</v>
      </c>
      <c r="P26" s="15">
        <f t="shared" si="21"/>
        <v>-0.99939999999999996</v>
      </c>
      <c r="Q26" s="15" t="e">
        <f t="shared" si="22"/>
        <v>#DIV/0!</v>
      </c>
      <c r="R26" s="10" t="s">
        <v>77</v>
      </c>
    </row>
    <row r="27" spans="1:18" s="12" customFormat="1" x14ac:dyDescent="0.3">
      <c r="A27" s="33" t="s">
        <v>47</v>
      </c>
      <c r="B27" s="34">
        <v>328644318</v>
      </c>
      <c r="C27" s="23">
        <f t="shared" si="15"/>
        <v>0.39261140062012728</v>
      </c>
      <c r="D27" s="17">
        <v>0.86580000000000001</v>
      </c>
      <c r="E27" s="17">
        <v>0.99950000000000006</v>
      </c>
      <c r="F27" s="17">
        <f t="shared" si="11"/>
        <v>0.9278583605854287</v>
      </c>
      <c r="G27" s="15">
        <f t="shared" si="16"/>
        <v>-1.8000000000000238E-3</v>
      </c>
      <c r="H27" s="15">
        <f t="shared" si="17"/>
        <v>0</v>
      </c>
      <c r="I27" s="15">
        <f t="shared" si="18"/>
        <v>-1.0326468592716243E-3</v>
      </c>
      <c r="J27" s="34">
        <v>147471578</v>
      </c>
      <c r="K27" s="23">
        <f t="shared" si="19"/>
        <v>0.3910164844433599</v>
      </c>
      <c r="L27" s="17">
        <v>0.8881</v>
      </c>
      <c r="M27" s="17">
        <v>0.99950000000000006</v>
      </c>
      <c r="N27" s="17">
        <f t="shared" si="13"/>
        <v>0.94051276753549495</v>
      </c>
      <c r="O27" s="15">
        <f t="shared" si="20"/>
        <v>-3.1999999999999806E-3</v>
      </c>
      <c r="P27" s="15">
        <f t="shared" si="21"/>
        <v>1.0000000000010001E-4</v>
      </c>
      <c r="Q27" s="15">
        <f t="shared" si="22"/>
        <v>-1.746945798191013E-3</v>
      </c>
      <c r="R27" s="10" t="s">
        <v>9</v>
      </c>
    </row>
    <row r="28" spans="1:18" s="12" customFormat="1" x14ac:dyDescent="0.3">
      <c r="A28" s="33" t="s">
        <v>48</v>
      </c>
      <c r="B28" s="34">
        <v>246283161</v>
      </c>
      <c r="C28" s="23">
        <f t="shared" si="15"/>
        <v>0.29421953003113327</v>
      </c>
      <c r="D28" s="17">
        <v>0.86539999999999995</v>
      </c>
      <c r="E28" s="17">
        <v>0.99939999999999996</v>
      </c>
      <c r="F28" s="17">
        <f t="shared" si="11"/>
        <v>0.92758554268554272</v>
      </c>
      <c r="G28" s="15">
        <f t="shared" si="16"/>
        <v>-2.2000000000000908E-3</v>
      </c>
      <c r="H28" s="15">
        <f t="shared" si="17"/>
        <v>-1.0000000000010001E-4</v>
      </c>
      <c r="I28" s="15">
        <f t="shared" si="18"/>
        <v>-1.3054647591576041E-3</v>
      </c>
      <c r="J28" s="34">
        <v>104264203</v>
      </c>
      <c r="K28" s="23">
        <f t="shared" si="19"/>
        <v>0.27645342013190377</v>
      </c>
      <c r="L28" s="17">
        <v>0.88770000000000004</v>
      </c>
      <c r="M28" s="17">
        <v>0.99939999999999996</v>
      </c>
      <c r="N28" s="17">
        <f t="shared" si="13"/>
        <v>0.94024416300143077</v>
      </c>
      <c r="O28" s="15">
        <f t="shared" si="20"/>
        <v>-3.5999999999999366E-3</v>
      </c>
      <c r="P28" s="15">
        <f t="shared" si="21"/>
        <v>0</v>
      </c>
      <c r="Q28" s="15">
        <f t="shared" si="22"/>
        <v>-2.0155503322552004E-3</v>
      </c>
      <c r="R28" s="10" t="s">
        <v>9</v>
      </c>
    </row>
    <row r="29" spans="1:18" s="12" customFormat="1" x14ac:dyDescent="0.3">
      <c r="A29" s="32" t="s">
        <v>49</v>
      </c>
      <c r="B29" s="18">
        <f>183388108+441990027</f>
        <v>625378135</v>
      </c>
      <c r="C29" s="23">
        <f t="shared" si="15"/>
        <v>0.74710126435094204</v>
      </c>
      <c r="D29" s="17">
        <v>0.87619999999999998</v>
      </c>
      <c r="E29" s="17">
        <v>0.99929999999999997</v>
      </c>
      <c r="F29" s="17">
        <f t="shared" si="11"/>
        <v>0.93371011463609699</v>
      </c>
      <c r="G29" s="15">
        <f t="shared" si="16"/>
        <v>8.599999999999941E-3</v>
      </c>
      <c r="H29" s="15">
        <f t="shared" si="17"/>
        <v>-2.00000000000089E-4</v>
      </c>
      <c r="I29" s="15">
        <f t="shared" si="18"/>
        <v>4.8191071913966654E-3</v>
      </c>
      <c r="J29" s="18">
        <f>80955157+206355779</f>
        <v>287310936</v>
      </c>
      <c r="K29" s="23">
        <f t="shared" si="19"/>
        <v>0.76179636551289343</v>
      </c>
      <c r="L29" s="17">
        <v>0.90239999999999998</v>
      </c>
      <c r="M29" s="17">
        <v>0.99929999999999997</v>
      </c>
      <c r="N29" s="17">
        <f t="shared" si="13"/>
        <v>0.94838125887363933</v>
      </c>
      <c r="O29" s="15">
        <f t="shared" si="20"/>
        <v>1.1099999999999999E-2</v>
      </c>
      <c r="P29" s="15">
        <f t="shared" si="21"/>
        <v>-9.9999999999988987E-5</v>
      </c>
      <c r="Q29" s="15">
        <f t="shared" si="22"/>
        <v>6.1215455399533658E-3</v>
      </c>
      <c r="R29" s="10" t="s">
        <v>9</v>
      </c>
    </row>
    <row r="30" spans="1:18" s="12" customFormat="1" ht="36" customHeight="1" x14ac:dyDescent="0.3">
      <c r="A30" s="7"/>
      <c r="B30" s="8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8" s="12" customFormat="1" ht="18" x14ac:dyDescent="0.35">
      <c r="A31" s="65" t="s">
        <v>69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s="12" customFormat="1" x14ac:dyDescent="0.3">
      <c r="A32" s="48"/>
      <c r="B32" s="57" t="s">
        <v>15</v>
      </c>
      <c r="C32" s="58"/>
      <c r="D32" s="58"/>
      <c r="E32" s="58"/>
      <c r="F32" s="58"/>
      <c r="G32" s="58"/>
      <c r="H32" s="58"/>
      <c r="I32" s="59"/>
      <c r="J32" s="57" t="s">
        <v>14</v>
      </c>
      <c r="K32" s="58"/>
      <c r="L32" s="58"/>
      <c r="M32" s="58"/>
      <c r="N32" s="58"/>
      <c r="O32" s="58"/>
      <c r="P32" s="58"/>
      <c r="Q32" s="59"/>
      <c r="R32" s="53" t="s">
        <v>65</v>
      </c>
    </row>
    <row r="33" spans="1:18" s="12" customFormat="1" x14ac:dyDescent="0.3">
      <c r="A33" s="48"/>
      <c r="B33" s="53" t="s">
        <v>8</v>
      </c>
      <c r="C33" s="53" t="s">
        <v>46</v>
      </c>
      <c r="D33" s="47" t="s">
        <v>73</v>
      </c>
      <c r="E33" s="47"/>
      <c r="F33" s="47"/>
      <c r="G33" s="47" t="s">
        <v>71</v>
      </c>
      <c r="H33" s="47"/>
      <c r="I33" s="47"/>
      <c r="J33" s="53" t="s">
        <v>8</v>
      </c>
      <c r="K33" s="53" t="s">
        <v>46</v>
      </c>
      <c r="L33" s="47" t="s">
        <v>73</v>
      </c>
      <c r="M33" s="47"/>
      <c r="N33" s="47"/>
      <c r="O33" s="47" t="s">
        <v>71</v>
      </c>
      <c r="P33" s="47"/>
      <c r="Q33" s="47"/>
      <c r="R33" s="64"/>
    </row>
    <row r="34" spans="1:18" s="12" customFormat="1" x14ac:dyDescent="0.3">
      <c r="A34" s="48"/>
      <c r="B34" s="54"/>
      <c r="C34" s="54"/>
      <c r="D34" s="41" t="s">
        <v>75</v>
      </c>
      <c r="E34" s="40" t="s">
        <v>2</v>
      </c>
      <c r="F34" s="40" t="s">
        <v>3</v>
      </c>
      <c r="G34" s="41" t="s">
        <v>75</v>
      </c>
      <c r="H34" s="40" t="s">
        <v>2</v>
      </c>
      <c r="I34" s="40" t="s">
        <v>3</v>
      </c>
      <c r="J34" s="54"/>
      <c r="K34" s="54"/>
      <c r="L34" s="41" t="s">
        <v>75</v>
      </c>
      <c r="M34" s="40" t="s">
        <v>2</v>
      </c>
      <c r="N34" s="40" t="s">
        <v>3</v>
      </c>
      <c r="O34" s="41" t="s">
        <v>75</v>
      </c>
      <c r="P34" s="40" t="s">
        <v>2</v>
      </c>
      <c r="Q34" s="40" t="s">
        <v>3</v>
      </c>
      <c r="R34" s="54"/>
    </row>
    <row r="35" spans="1:18" s="12" customFormat="1" x14ac:dyDescent="0.3">
      <c r="A35" s="14" t="s">
        <v>0</v>
      </c>
      <c r="B35" s="16">
        <v>1986669293</v>
      </c>
      <c r="C35" s="24">
        <f t="shared" ref="C35:C44" si="23">(B35/$B$35)*8</f>
        <v>8</v>
      </c>
      <c r="D35" s="17">
        <v>0.86619999999999997</v>
      </c>
      <c r="E35" s="17">
        <v>0.99790000000000001</v>
      </c>
      <c r="F35" s="17">
        <f>2*((D35*E35)/(D35+E35))</f>
        <v>0.92739765034064692</v>
      </c>
      <c r="G35" s="15">
        <f>D35-D$35</f>
        <v>0</v>
      </c>
      <c r="H35" s="15">
        <f t="shared" ref="H35:I35" si="24">E35-E$35</f>
        <v>0</v>
      </c>
      <c r="I35" s="15">
        <f t="shared" si="24"/>
        <v>0</v>
      </c>
      <c r="J35" s="16">
        <v>880786761</v>
      </c>
      <c r="K35" s="24">
        <f t="shared" ref="K35:K44" si="25">(J35/$J$35)*8</f>
        <v>8</v>
      </c>
      <c r="L35" s="17">
        <v>0.89419999999999999</v>
      </c>
      <c r="M35" s="17">
        <v>0.99770000000000003</v>
      </c>
      <c r="N35" s="17">
        <f>2*((L35*M35)/(L35+M35))</f>
        <v>0.94311891749035359</v>
      </c>
      <c r="O35" s="15">
        <f>L35-L$35</f>
        <v>0</v>
      </c>
      <c r="P35" s="15">
        <f t="shared" ref="P35:Q35" si="26">M35-M$35</f>
        <v>0</v>
      </c>
      <c r="Q35" s="15">
        <f t="shared" si="26"/>
        <v>0</v>
      </c>
      <c r="R35" s="13" t="s">
        <v>9</v>
      </c>
    </row>
    <row r="36" spans="1:18" s="12" customFormat="1" x14ac:dyDescent="0.3">
      <c r="A36" s="14" t="s">
        <v>22</v>
      </c>
      <c r="B36" s="16">
        <v>180808513</v>
      </c>
      <c r="C36" s="24">
        <f t="shared" si="23"/>
        <v>0.72808700929571368</v>
      </c>
      <c r="D36" s="17">
        <v>0.86599999999999999</v>
      </c>
      <c r="E36" s="17">
        <v>0.99790000000000001</v>
      </c>
      <c r="F36" s="17">
        <f t="shared" ref="F36:F44" si="27">2*((D36*E36)/(D36+E36))</f>
        <v>0.92728300874510428</v>
      </c>
      <c r="G36" s="15">
        <f t="shared" ref="G36:G44" si="28">D36-D$35</f>
        <v>-1.9999999999997797E-4</v>
      </c>
      <c r="H36" s="15">
        <f t="shared" ref="H36:H44" si="29">E36-E$35</f>
        <v>0</v>
      </c>
      <c r="I36" s="15">
        <f t="shared" ref="I36:I44" si="30">F36-F$35</f>
        <v>-1.1464159554264164E-4</v>
      </c>
      <c r="J36" s="16">
        <v>84415660</v>
      </c>
      <c r="K36" s="24">
        <f t="shared" si="25"/>
        <v>0.7667295989250229</v>
      </c>
      <c r="L36" s="17">
        <v>0.89439999999999997</v>
      </c>
      <c r="M36" s="17">
        <v>0.99760000000000004</v>
      </c>
      <c r="N36" s="17">
        <f t="shared" ref="N36:N44" si="31">2*((L36*M36)/(L36+M36))</f>
        <v>0.94318545454545466</v>
      </c>
      <c r="O36" s="15">
        <f t="shared" ref="O36:O44" si="32">L36-L$35</f>
        <v>1.9999999999997797E-4</v>
      </c>
      <c r="P36" s="15">
        <f t="shared" ref="P36:P44" si="33">M36-M$35</f>
        <v>-9.9999999999988987E-5</v>
      </c>
      <c r="Q36" s="15">
        <f t="shared" ref="Q36:Q44" si="34">N36-N$35</f>
        <v>6.6537055101067999E-5</v>
      </c>
      <c r="R36" s="13" t="s">
        <v>9</v>
      </c>
    </row>
    <row r="37" spans="1:18" s="12" customFormat="1" x14ac:dyDescent="0.3">
      <c r="A37" s="14" t="s">
        <v>23</v>
      </c>
      <c r="B37" s="16">
        <v>93357561</v>
      </c>
      <c r="C37" s="24">
        <f t="shared" si="23"/>
        <v>0.37593599026851221</v>
      </c>
      <c r="D37" s="17">
        <v>0.86599999999999999</v>
      </c>
      <c r="E37" s="17">
        <v>0.99760000000000004</v>
      </c>
      <c r="F37" s="17">
        <f t="shared" si="27"/>
        <v>0.92715346640910079</v>
      </c>
      <c r="G37" s="15">
        <f t="shared" si="28"/>
        <v>-1.9999999999997797E-4</v>
      </c>
      <c r="H37" s="15">
        <f t="shared" si="29"/>
        <v>-2.9999999999996696E-4</v>
      </c>
      <c r="I37" s="15">
        <f t="shared" si="30"/>
        <v>-2.4418393154612694E-4</v>
      </c>
      <c r="J37" s="16">
        <v>46732315</v>
      </c>
      <c r="K37" s="24">
        <f t="shared" si="25"/>
        <v>0.42445974048876511</v>
      </c>
      <c r="L37" s="17">
        <v>0.89410000000000001</v>
      </c>
      <c r="M37" s="17">
        <v>0.99719999999999998</v>
      </c>
      <c r="N37" s="17">
        <f t="shared" si="31"/>
        <v>0.94283986675831444</v>
      </c>
      <c r="O37" s="15">
        <f t="shared" si="32"/>
        <v>-9.9999999999988987E-5</v>
      </c>
      <c r="P37" s="15">
        <f t="shared" si="33"/>
        <v>-5.0000000000005596E-4</v>
      </c>
      <c r="Q37" s="15">
        <f t="shared" si="34"/>
        <v>-2.7905073203915443E-4</v>
      </c>
      <c r="R37" s="13" t="s">
        <v>9</v>
      </c>
    </row>
    <row r="38" spans="1:18" s="12" customFormat="1" x14ac:dyDescent="0.3">
      <c r="A38" s="14" t="s">
        <v>24</v>
      </c>
      <c r="B38" s="16">
        <v>32931170</v>
      </c>
      <c r="C38" s="24">
        <f t="shared" si="23"/>
        <v>0.1326085629491833</v>
      </c>
      <c r="D38" s="17">
        <v>0.8659</v>
      </c>
      <c r="E38" s="17">
        <v>0.99529999999999996</v>
      </c>
      <c r="F38" s="17">
        <f t="shared" si="27"/>
        <v>0.92610173006662366</v>
      </c>
      <c r="G38" s="15">
        <f t="shared" si="28"/>
        <v>-2.9999999999996696E-4</v>
      </c>
      <c r="H38" s="15">
        <f t="shared" si="29"/>
        <v>-2.6000000000000467E-3</v>
      </c>
      <c r="I38" s="15">
        <f t="shared" si="30"/>
        <v>-1.2959202740232545E-3</v>
      </c>
      <c r="J38" s="16">
        <v>17191826</v>
      </c>
      <c r="K38" s="24">
        <f t="shared" si="25"/>
        <v>0.15614972214597125</v>
      </c>
      <c r="L38" s="17">
        <v>0.89439999999999997</v>
      </c>
      <c r="M38" s="17">
        <v>0.99460000000000004</v>
      </c>
      <c r="N38" s="17">
        <f t="shared" si="31"/>
        <v>0.94184249867654835</v>
      </c>
      <c r="O38" s="15">
        <f t="shared" si="32"/>
        <v>1.9999999999997797E-4</v>
      </c>
      <c r="P38" s="15">
        <f t="shared" si="33"/>
        <v>-3.0999999999999917E-3</v>
      </c>
      <c r="Q38" s="15">
        <f t="shared" si="34"/>
        <v>-1.2764188138052468E-3</v>
      </c>
      <c r="R38" s="13" t="s">
        <v>9</v>
      </c>
    </row>
    <row r="39" spans="1:18" s="12" customFormat="1" x14ac:dyDescent="0.3">
      <c r="A39" s="14" t="s">
        <v>25</v>
      </c>
      <c r="B39" s="16">
        <v>9832950</v>
      </c>
      <c r="C39" s="24">
        <f t="shared" si="23"/>
        <v>3.9595719467336629E-2</v>
      </c>
      <c r="D39" s="17">
        <v>0.86609999999999998</v>
      </c>
      <c r="E39" s="17">
        <v>0.98629999999999995</v>
      </c>
      <c r="F39" s="17">
        <f t="shared" si="27"/>
        <v>0.92230018354567056</v>
      </c>
      <c r="G39" s="15">
        <f t="shared" si="28"/>
        <v>-9.9999999999988987E-5</v>
      </c>
      <c r="H39" s="15">
        <f t="shared" si="29"/>
        <v>-1.1600000000000055E-2</v>
      </c>
      <c r="I39" s="15">
        <f t="shared" si="30"/>
        <v>-5.0974667949763575E-3</v>
      </c>
      <c r="J39" s="16">
        <v>5722879</v>
      </c>
      <c r="K39" s="24">
        <f t="shared" si="25"/>
        <v>5.1979700453285989E-2</v>
      </c>
      <c r="L39" s="17">
        <v>0.89459999999999995</v>
      </c>
      <c r="M39" s="17">
        <v>0.98429999999999995</v>
      </c>
      <c r="N39" s="17">
        <f t="shared" si="31"/>
        <v>0.93730882963436046</v>
      </c>
      <c r="O39" s="15">
        <f t="shared" si="32"/>
        <v>3.9999999999995595E-4</v>
      </c>
      <c r="P39" s="15">
        <f t="shared" si="33"/>
        <v>-1.3400000000000079E-2</v>
      </c>
      <c r="Q39" s="15">
        <f t="shared" si="34"/>
        <v>-5.810087855993129E-3</v>
      </c>
      <c r="R39" s="13" t="s">
        <v>9</v>
      </c>
    </row>
    <row r="40" spans="1:18" s="12" customFormat="1" x14ac:dyDescent="0.3">
      <c r="A40" s="14" t="s">
        <v>26</v>
      </c>
      <c r="B40" s="16">
        <v>3480969</v>
      </c>
      <c r="C40" s="24">
        <f t="shared" si="23"/>
        <v>1.4017306301618062E-2</v>
      </c>
      <c r="D40" s="17">
        <v>0.86629999999999996</v>
      </c>
      <c r="E40" s="17">
        <v>0.98050000000000004</v>
      </c>
      <c r="F40" s="17">
        <f t="shared" si="27"/>
        <v>0.91986912497292617</v>
      </c>
      <c r="G40" s="15">
        <f t="shared" si="28"/>
        <v>9.9999999999988987E-5</v>
      </c>
      <c r="H40" s="15">
        <f t="shared" si="29"/>
        <v>-1.7399999999999971E-2</v>
      </c>
      <c r="I40" s="15">
        <f t="shared" si="30"/>
        <v>-7.5285253677207509E-3</v>
      </c>
      <c r="J40" s="16">
        <v>1879305</v>
      </c>
      <c r="K40" s="24">
        <f t="shared" si="25"/>
        <v>1.7069330132676686E-2</v>
      </c>
      <c r="L40" s="17">
        <v>0.89429999999999998</v>
      </c>
      <c r="M40" s="17">
        <v>0.97499999999999998</v>
      </c>
      <c r="N40" s="17">
        <f t="shared" si="31"/>
        <v>0.93290804044294651</v>
      </c>
      <c r="O40" s="15">
        <f t="shared" si="32"/>
        <v>9.9999999999988987E-5</v>
      </c>
      <c r="P40" s="15">
        <f t="shared" si="33"/>
        <v>-2.2700000000000053E-2</v>
      </c>
      <c r="Q40" s="15">
        <f>N40-N$35</f>
        <v>-1.0210877047407085E-2</v>
      </c>
      <c r="R40" s="13" t="s">
        <v>9</v>
      </c>
    </row>
    <row r="41" spans="1:18" s="12" customFormat="1" x14ac:dyDescent="0.3">
      <c r="A41" s="32" t="s">
        <v>76</v>
      </c>
      <c r="B41" s="16"/>
      <c r="C41" s="24">
        <f t="shared" si="23"/>
        <v>0</v>
      </c>
      <c r="D41" s="17"/>
      <c r="E41" s="17"/>
      <c r="F41" s="17" t="e">
        <f t="shared" si="27"/>
        <v>#DIV/0!</v>
      </c>
      <c r="G41" s="15">
        <f t="shared" si="28"/>
        <v>-0.86619999999999997</v>
      </c>
      <c r="H41" s="15">
        <f t="shared" si="29"/>
        <v>-0.99790000000000001</v>
      </c>
      <c r="I41" s="15" t="e">
        <f t="shared" si="30"/>
        <v>#DIV/0!</v>
      </c>
      <c r="J41" s="16"/>
      <c r="K41" s="24">
        <f t="shared" si="25"/>
        <v>0</v>
      </c>
      <c r="L41" s="17"/>
      <c r="M41" s="17"/>
      <c r="N41" s="17" t="e">
        <f t="shared" si="31"/>
        <v>#DIV/0!</v>
      </c>
      <c r="O41" s="15">
        <f t="shared" si="32"/>
        <v>-0.89419999999999999</v>
      </c>
      <c r="P41" s="15">
        <f t="shared" si="33"/>
        <v>-0.99770000000000003</v>
      </c>
      <c r="Q41" s="15" t="e">
        <f t="shared" si="34"/>
        <v>#DIV/0!</v>
      </c>
      <c r="R41" s="13" t="s">
        <v>77</v>
      </c>
    </row>
    <row r="42" spans="1:18" s="12" customFormat="1" x14ac:dyDescent="0.3">
      <c r="A42" s="19" t="s">
        <v>47</v>
      </c>
      <c r="B42" s="16">
        <v>100830366</v>
      </c>
      <c r="C42" s="24">
        <f t="shared" si="23"/>
        <v>0.40602778270253359</v>
      </c>
      <c r="D42" s="17">
        <v>0.86670000000000003</v>
      </c>
      <c r="E42" s="17">
        <v>0.998</v>
      </c>
      <c r="F42" s="17">
        <f t="shared" si="27"/>
        <v>0.92772735560680009</v>
      </c>
      <c r="G42" s="15">
        <f t="shared" si="28"/>
        <v>5.0000000000005596E-4</v>
      </c>
      <c r="H42" s="15">
        <f t="shared" si="29"/>
        <v>9.9999999999988987E-5</v>
      </c>
      <c r="I42" s="15">
        <f t="shared" si="30"/>
        <v>3.2970526615316853E-4</v>
      </c>
      <c r="J42" s="16">
        <v>44840996</v>
      </c>
      <c r="K42" s="24">
        <f t="shared" si="25"/>
        <v>0.40728128973319117</v>
      </c>
      <c r="L42" s="17">
        <v>0.8952</v>
      </c>
      <c r="M42" s="17">
        <v>0.99770000000000003</v>
      </c>
      <c r="N42" s="17">
        <f t="shared" si="31"/>
        <v>0.94367482698504945</v>
      </c>
      <c r="O42" s="15">
        <f t="shared" si="32"/>
        <v>1.0000000000000009E-3</v>
      </c>
      <c r="P42" s="15">
        <f t="shared" si="33"/>
        <v>0</v>
      </c>
      <c r="Q42" s="15">
        <f t="shared" si="34"/>
        <v>5.5590949469586093E-4</v>
      </c>
      <c r="R42" s="13" t="s">
        <v>9</v>
      </c>
    </row>
    <row r="43" spans="1:18" s="12" customFormat="1" x14ac:dyDescent="0.3">
      <c r="A43" s="19" t="s">
        <v>48</v>
      </c>
      <c r="B43" s="16">
        <v>58407264</v>
      </c>
      <c r="C43" s="24">
        <f t="shared" si="23"/>
        <v>0.23519672531627536</v>
      </c>
      <c r="D43" s="17">
        <v>0.86780000000000002</v>
      </c>
      <c r="E43" s="17">
        <v>0.99770000000000003</v>
      </c>
      <c r="F43" s="17">
        <f t="shared" si="27"/>
        <v>0.92822734923612982</v>
      </c>
      <c r="G43" s="15">
        <f t="shared" si="28"/>
        <v>1.6000000000000458E-3</v>
      </c>
      <c r="H43" s="15">
        <f t="shared" si="29"/>
        <v>-1.9999999999997797E-4</v>
      </c>
      <c r="I43" s="15">
        <f t="shared" si="30"/>
        <v>8.2969889548289988E-4</v>
      </c>
      <c r="J43" s="16">
        <v>23642566</v>
      </c>
      <c r="K43" s="24">
        <f t="shared" si="25"/>
        <v>0.21474043023223871</v>
      </c>
      <c r="L43" s="17">
        <v>0.89700000000000002</v>
      </c>
      <c r="M43" s="17">
        <v>0.99709999999999999</v>
      </c>
      <c r="N43" s="17">
        <f>2*((L43*M43)/(L43+M43))</f>
        <v>0.94440494166094724</v>
      </c>
      <c r="O43" s="15">
        <f t="shared" si="32"/>
        <v>2.8000000000000247E-3</v>
      </c>
      <c r="P43" s="15">
        <f t="shared" si="33"/>
        <v>-6.0000000000004494E-4</v>
      </c>
      <c r="Q43" s="15">
        <f t="shared" si="34"/>
        <v>1.286024170593647E-3</v>
      </c>
      <c r="R43" s="13" t="s">
        <v>9</v>
      </c>
    </row>
    <row r="44" spans="1:18" s="12" customFormat="1" x14ac:dyDescent="0.3">
      <c r="A44" s="14" t="s">
        <v>49</v>
      </c>
      <c r="B44" s="16">
        <f>53644809+58235600</f>
        <v>111880409</v>
      </c>
      <c r="C44" s="24">
        <f t="shared" si="23"/>
        <v>0.45052454132837899</v>
      </c>
      <c r="D44" s="17">
        <v>0.87070000000000003</v>
      </c>
      <c r="E44" s="17">
        <v>0.99770000000000003</v>
      </c>
      <c r="F44" s="17">
        <f t="shared" si="27"/>
        <v>0.92988374009847996</v>
      </c>
      <c r="G44" s="15">
        <f t="shared" si="28"/>
        <v>4.5000000000000595E-3</v>
      </c>
      <c r="H44" s="15">
        <f t="shared" si="29"/>
        <v>-1.9999999999997797E-4</v>
      </c>
      <c r="I44" s="15">
        <f t="shared" si="30"/>
        <v>2.4860897578330432E-3</v>
      </c>
      <c r="J44" s="16">
        <f>22297278+24336788</f>
        <v>46634066</v>
      </c>
      <c r="K44" s="24">
        <f t="shared" si="25"/>
        <v>0.42356736558623181</v>
      </c>
      <c r="L44" s="17">
        <v>0.89829999999999999</v>
      </c>
      <c r="M44" s="17">
        <v>0.99729999999999996</v>
      </c>
      <c r="N44" s="17">
        <f t="shared" si="31"/>
        <v>0.94521480270099167</v>
      </c>
      <c r="O44" s="15">
        <f t="shared" si="32"/>
        <v>4.0999999999999925E-3</v>
      </c>
      <c r="P44" s="15">
        <f t="shared" si="33"/>
        <v>-4.0000000000006697E-4</v>
      </c>
      <c r="Q44" s="15">
        <f t="shared" si="34"/>
        <v>2.0958852106380821E-3</v>
      </c>
      <c r="R44" s="13" t="s">
        <v>9</v>
      </c>
    </row>
  </sheetData>
  <mergeCells count="39">
    <mergeCell ref="L33:N33"/>
    <mergeCell ref="O33:Q33"/>
    <mergeCell ref="B32:I32"/>
    <mergeCell ref="J32:Q32"/>
    <mergeCell ref="B33:B34"/>
    <mergeCell ref="C33:C34"/>
    <mergeCell ref="K33:K34"/>
    <mergeCell ref="J33:J34"/>
    <mergeCell ref="A1:R1"/>
    <mergeCell ref="A17:A19"/>
    <mergeCell ref="A2:A4"/>
    <mergeCell ref="B2:I2"/>
    <mergeCell ref="G3:I3"/>
    <mergeCell ref="C3:C4"/>
    <mergeCell ref="B3:B4"/>
    <mergeCell ref="D3:F3"/>
    <mergeCell ref="J3:J4"/>
    <mergeCell ref="K3:K4"/>
    <mergeCell ref="L3:N3"/>
    <mergeCell ref="O3:Q3"/>
    <mergeCell ref="K18:K19"/>
    <mergeCell ref="B18:B19"/>
    <mergeCell ref="C18:C19"/>
    <mergeCell ref="R32:R34"/>
    <mergeCell ref="A31:R31"/>
    <mergeCell ref="R2:R4"/>
    <mergeCell ref="R17:R19"/>
    <mergeCell ref="A16:R16"/>
    <mergeCell ref="A32:A34"/>
    <mergeCell ref="J2:Q2"/>
    <mergeCell ref="B17:I17"/>
    <mergeCell ref="J17:Q17"/>
    <mergeCell ref="D18:F18"/>
    <mergeCell ref="G18:I18"/>
    <mergeCell ref="L18:N18"/>
    <mergeCell ref="O18:Q18"/>
    <mergeCell ref="J18:J19"/>
    <mergeCell ref="D33:F33"/>
    <mergeCell ref="G33:I33"/>
  </mergeCells>
  <conditionalFormatting sqref="G5:I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I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Q14 O20:Q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I44 O35:Q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 K20:K29 C20:C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C44 K35:K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14 K5:K14 K20:K29 C20:C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4"/>
  <sheetViews>
    <sheetView zoomScaleNormal="100" workbookViewId="0">
      <selection activeCell="R42" sqref="R42"/>
    </sheetView>
  </sheetViews>
  <sheetFormatPr baseColWidth="10" defaultColWidth="8.77734375" defaultRowHeight="14.4" x14ac:dyDescent="0.3"/>
  <cols>
    <col min="1" max="1" width="19.77734375" bestFit="1" customWidth="1"/>
    <col min="2" max="2" width="15.77734375" bestFit="1" customWidth="1"/>
    <col min="3" max="3" width="9.5546875" bestFit="1" customWidth="1"/>
    <col min="7" max="9" width="8.77734375" style="12"/>
    <col min="10" max="10" width="15.77734375" bestFit="1" customWidth="1"/>
    <col min="11" max="11" width="9.5546875" bestFit="1" customWidth="1"/>
    <col min="15" max="17" width="8.77734375" style="12"/>
    <col min="18" max="18" width="8.5546875" bestFit="1" customWidth="1"/>
  </cols>
  <sheetData>
    <row r="1" spans="1:18" s="12" customFormat="1" ht="18" x14ac:dyDescent="0.35">
      <c r="A1" s="45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s="12" customFormat="1" x14ac:dyDescent="0.3">
      <c r="A2" s="48"/>
      <c r="B2" s="57" t="s">
        <v>15</v>
      </c>
      <c r="C2" s="58"/>
      <c r="D2" s="58"/>
      <c r="E2" s="58"/>
      <c r="F2" s="58"/>
      <c r="G2" s="58"/>
      <c r="H2" s="58"/>
      <c r="I2" s="59"/>
      <c r="J2" s="57" t="s">
        <v>14</v>
      </c>
      <c r="K2" s="58"/>
      <c r="L2" s="58"/>
      <c r="M2" s="58"/>
      <c r="N2" s="58"/>
      <c r="O2" s="58"/>
      <c r="P2" s="58"/>
      <c r="Q2" s="59"/>
      <c r="R2" s="53" t="s">
        <v>65</v>
      </c>
    </row>
    <row r="3" spans="1:18" s="12" customFormat="1" x14ac:dyDescent="0.3">
      <c r="A3" s="48"/>
      <c r="B3" s="53" t="s">
        <v>8</v>
      </c>
      <c r="C3" s="53" t="s">
        <v>46</v>
      </c>
      <c r="D3" s="57" t="s">
        <v>74</v>
      </c>
      <c r="E3" s="58"/>
      <c r="F3" s="59"/>
      <c r="G3" s="57" t="s">
        <v>71</v>
      </c>
      <c r="H3" s="58"/>
      <c r="I3" s="59"/>
      <c r="J3" s="53" t="s">
        <v>8</v>
      </c>
      <c r="K3" s="53" t="s">
        <v>46</v>
      </c>
      <c r="L3" s="57" t="s">
        <v>74</v>
      </c>
      <c r="M3" s="58"/>
      <c r="N3" s="59"/>
      <c r="O3" s="57" t="s">
        <v>71</v>
      </c>
      <c r="P3" s="58"/>
      <c r="Q3" s="59"/>
      <c r="R3" s="64"/>
    </row>
    <row r="4" spans="1:18" s="12" customFormat="1" x14ac:dyDescent="0.3">
      <c r="A4" s="48"/>
      <c r="B4" s="54"/>
      <c r="C4" s="54"/>
      <c r="D4" s="25" t="s">
        <v>75</v>
      </c>
      <c r="E4" s="25" t="s">
        <v>2</v>
      </c>
      <c r="F4" s="25" t="s">
        <v>3</v>
      </c>
      <c r="G4" s="41" t="s">
        <v>75</v>
      </c>
      <c r="H4" s="40" t="s">
        <v>2</v>
      </c>
      <c r="I4" s="40" t="s">
        <v>3</v>
      </c>
      <c r="J4" s="54"/>
      <c r="K4" s="54"/>
      <c r="L4" s="41" t="s">
        <v>75</v>
      </c>
      <c r="M4" s="40" t="s">
        <v>2</v>
      </c>
      <c r="N4" s="40" t="s">
        <v>3</v>
      </c>
      <c r="O4" s="41" t="s">
        <v>75</v>
      </c>
      <c r="P4" s="40" t="s">
        <v>2</v>
      </c>
      <c r="Q4" s="40" t="s">
        <v>3</v>
      </c>
      <c r="R4" s="54"/>
    </row>
    <row r="5" spans="1:18" s="12" customFormat="1" x14ac:dyDescent="0.3">
      <c r="A5" s="14" t="s">
        <v>0</v>
      </c>
      <c r="B5" s="16">
        <v>1402713277</v>
      </c>
      <c r="C5" s="24">
        <f>(B5/$B$5)*8</f>
        <v>8</v>
      </c>
      <c r="D5" s="17">
        <v>6.6000000000000003E-2</v>
      </c>
      <c r="E5" s="17">
        <v>0.96160000000000001</v>
      </c>
      <c r="F5" s="15">
        <f>2*((D5*E5)/(D5+E5))</f>
        <v>0.12352199299338262</v>
      </c>
      <c r="G5" s="15">
        <f>D5-D$5</f>
        <v>0</v>
      </c>
      <c r="H5" s="15">
        <f t="shared" ref="H5" si="0">E5-E$5</f>
        <v>0</v>
      </c>
      <c r="I5" s="15">
        <f>F5-F$5</f>
        <v>0</v>
      </c>
      <c r="J5" s="16">
        <v>622751899</v>
      </c>
      <c r="K5" s="24">
        <f>(J5/$J$5)*8</f>
        <v>8</v>
      </c>
      <c r="L5" s="17">
        <v>6.0499999999999998E-2</v>
      </c>
      <c r="M5" s="17">
        <v>0.95989999999999998</v>
      </c>
      <c r="N5" s="15">
        <f>2*((L5*M5)/(L5+M5))</f>
        <v>0.11382585260682086</v>
      </c>
      <c r="O5" s="15">
        <f>L5-L$5</f>
        <v>0</v>
      </c>
      <c r="P5" s="15">
        <f t="shared" ref="P5:Q5" si="1">M5-M$5</f>
        <v>0</v>
      </c>
      <c r="Q5" s="15">
        <f t="shared" si="1"/>
        <v>0</v>
      </c>
      <c r="R5" s="13" t="s">
        <v>9</v>
      </c>
    </row>
    <row r="6" spans="1:18" s="12" customFormat="1" x14ac:dyDescent="0.3">
      <c r="A6" s="14" t="s">
        <v>22</v>
      </c>
      <c r="B6" s="18">
        <v>346716840</v>
      </c>
      <c r="C6" s="24">
        <f t="shared" ref="C6:C14" si="2">(B6/$B$5)*8</f>
        <v>1.9774067626508964</v>
      </c>
      <c r="D6" s="17">
        <v>6.5600000000000006E-2</v>
      </c>
      <c r="E6" s="17">
        <v>0.96209999999999996</v>
      </c>
      <c r="F6" s="17">
        <f t="shared" ref="F6:F14" si="3">2*((D6*E6)/(D6+E6))</f>
        <v>0.12282526028996789</v>
      </c>
      <c r="G6" s="15">
        <f t="shared" ref="G6:G14" si="4">D6-D$5</f>
        <v>-3.9999999999999758E-4</v>
      </c>
      <c r="H6" s="15">
        <f t="shared" ref="H6:H14" si="5">E6-E$5</f>
        <v>4.9999999999994493E-4</v>
      </c>
      <c r="I6" s="15">
        <f t="shared" ref="I6:I14" si="6">F6-F$5</f>
        <v>-6.967327034147347E-4</v>
      </c>
      <c r="J6" s="16">
        <v>155988650</v>
      </c>
      <c r="K6" s="24">
        <f t="shared" ref="K6:K14" si="7">(J6/$J$5)*8</f>
        <v>2.0038625365958138</v>
      </c>
      <c r="L6" s="17">
        <v>6.0199999999999997E-2</v>
      </c>
      <c r="M6" s="17">
        <v>0.96009999999999995</v>
      </c>
      <c r="N6" s="17">
        <f t="shared" ref="N6:N14" si="8">2*((L6*M6)/(L6+M6))</f>
        <v>0.11329612858963048</v>
      </c>
      <c r="O6" s="15">
        <f t="shared" ref="O6:O14" si="9">L6-L$5</f>
        <v>-3.0000000000000165E-4</v>
      </c>
      <c r="P6" s="15">
        <f t="shared" ref="P6:P14" si="10">M6-M$5</f>
        <v>1.9999999999997797E-4</v>
      </c>
      <c r="Q6" s="15">
        <f t="shared" ref="Q6:Q14" si="11">N6-N$5</f>
        <v>-5.2972401719038331E-4</v>
      </c>
      <c r="R6" s="13" t="s">
        <v>9</v>
      </c>
    </row>
    <row r="7" spans="1:18" s="12" customFormat="1" x14ac:dyDescent="0.3">
      <c r="A7" s="14" t="s">
        <v>23</v>
      </c>
      <c r="B7" s="18">
        <v>273266584</v>
      </c>
      <c r="C7" s="24">
        <f t="shared" si="2"/>
        <v>1.5585028728576011</v>
      </c>
      <c r="D7" s="17">
        <v>6.6100000000000006E-2</v>
      </c>
      <c r="E7" s="17">
        <v>0.96060000000000001</v>
      </c>
      <c r="F7" s="17">
        <f t="shared" si="3"/>
        <v>0.12368882828479598</v>
      </c>
      <c r="G7" s="15">
        <f t="shared" si="4"/>
        <v>1.0000000000000286E-4</v>
      </c>
      <c r="H7" s="15">
        <f t="shared" si="5"/>
        <v>-1.0000000000000009E-3</v>
      </c>
      <c r="I7" s="15">
        <f t="shared" si="6"/>
        <v>1.6683529141335585E-4</v>
      </c>
      <c r="J7" s="16">
        <v>122833357</v>
      </c>
      <c r="K7" s="24">
        <f t="shared" si="7"/>
        <v>1.5779427691476215</v>
      </c>
      <c r="L7" s="17">
        <v>6.0499999999999998E-2</v>
      </c>
      <c r="M7" s="17">
        <v>0.96009999999999995</v>
      </c>
      <c r="N7" s="17">
        <f t="shared" si="8"/>
        <v>0.11382725847540662</v>
      </c>
      <c r="O7" s="15">
        <f t="shared" si="9"/>
        <v>0</v>
      </c>
      <c r="P7" s="15">
        <f t="shared" si="10"/>
        <v>1.9999999999997797E-4</v>
      </c>
      <c r="Q7" s="15">
        <f t="shared" si="11"/>
        <v>1.4058685857548658E-6</v>
      </c>
      <c r="R7" s="13" t="s">
        <v>9</v>
      </c>
    </row>
    <row r="8" spans="1:18" s="12" customFormat="1" x14ac:dyDescent="0.3">
      <c r="A8" s="14" t="s">
        <v>24</v>
      </c>
      <c r="B8" s="18">
        <v>198709595</v>
      </c>
      <c r="C8" s="24">
        <f t="shared" si="2"/>
        <v>1.1332870274100928</v>
      </c>
      <c r="D8" s="17">
        <v>6.6100000000000006E-2</v>
      </c>
      <c r="E8" s="17">
        <v>0.96120000000000005</v>
      </c>
      <c r="F8" s="17">
        <f t="shared" si="3"/>
        <v>0.12369379927966515</v>
      </c>
      <c r="G8" s="15">
        <f t="shared" si="4"/>
        <v>1.0000000000000286E-4</v>
      </c>
      <c r="H8" s="15">
        <f t="shared" si="5"/>
        <v>-3.9999999999995595E-4</v>
      </c>
      <c r="I8" s="15">
        <f t="shared" si="6"/>
        <v>1.7180628628252204E-4</v>
      </c>
      <c r="J8" s="16">
        <v>89402714</v>
      </c>
      <c r="K8" s="24">
        <f t="shared" si="7"/>
        <v>1.1484857985154053</v>
      </c>
      <c r="L8" s="17">
        <v>6.0900000000000003E-2</v>
      </c>
      <c r="M8" s="17">
        <v>0.95989999999999998</v>
      </c>
      <c r="N8" s="17">
        <f t="shared" si="8"/>
        <v>0.11453352272727274</v>
      </c>
      <c r="O8" s="15">
        <f t="shared" si="9"/>
        <v>4.0000000000000452E-4</v>
      </c>
      <c r="P8" s="15">
        <f t="shared" si="10"/>
        <v>0</v>
      </c>
      <c r="Q8" s="15">
        <f t="shared" si="11"/>
        <v>7.0767012045187816E-4</v>
      </c>
      <c r="R8" s="13" t="s">
        <v>9</v>
      </c>
    </row>
    <row r="9" spans="1:18" s="12" customFormat="1" x14ac:dyDescent="0.3">
      <c r="A9" s="14" t="s">
        <v>25</v>
      </c>
      <c r="B9" s="18">
        <v>121742167</v>
      </c>
      <c r="C9" s="24">
        <f t="shared" si="2"/>
        <v>0.69432388783185373</v>
      </c>
      <c r="D9" s="17">
        <v>6.6400000000000001E-2</v>
      </c>
      <c r="E9" s="17">
        <v>0.95899999999999996</v>
      </c>
      <c r="F9" s="17">
        <f t="shared" si="3"/>
        <v>0.12420050711917302</v>
      </c>
      <c r="G9" s="15">
        <f t="shared" si="4"/>
        <v>3.9999999999999758E-4</v>
      </c>
      <c r="H9" s="15">
        <f t="shared" si="5"/>
        <v>-2.6000000000000467E-3</v>
      </c>
      <c r="I9" s="15">
        <f t="shared" si="6"/>
        <v>6.7851412579039705E-4</v>
      </c>
      <c r="J9" s="16">
        <v>55420782</v>
      </c>
      <c r="K9" s="24">
        <f t="shared" si="7"/>
        <v>0.71194685509903199</v>
      </c>
      <c r="L9" s="17">
        <v>6.0900000000000003E-2</v>
      </c>
      <c r="M9" s="17">
        <v>0.95899999999999996</v>
      </c>
      <c r="N9" s="17">
        <f t="shared" si="8"/>
        <v>0.11452711050102951</v>
      </c>
      <c r="O9" s="15">
        <f t="shared" si="9"/>
        <v>4.0000000000000452E-4</v>
      </c>
      <c r="P9" s="15">
        <f t="shared" si="10"/>
        <v>-9.000000000000119E-4</v>
      </c>
      <c r="Q9" s="15">
        <f t="shared" si="11"/>
        <v>7.0125789420864837E-4</v>
      </c>
      <c r="R9" s="13" t="s">
        <v>9</v>
      </c>
    </row>
    <row r="10" spans="1:18" s="12" customFormat="1" x14ac:dyDescent="0.3">
      <c r="A10" s="32" t="s">
        <v>26</v>
      </c>
      <c r="B10" s="18">
        <v>60751253</v>
      </c>
      <c r="C10" s="23">
        <f t="shared" si="2"/>
        <v>0.34647852270952734</v>
      </c>
      <c r="D10" s="17">
        <v>6.7000000000000004E-2</v>
      </c>
      <c r="E10" s="17">
        <v>0.95779999999999998</v>
      </c>
      <c r="F10" s="17">
        <f t="shared" si="3"/>
        <v>0.1252392661982826</v>
      </c>
      <c r="G10" s="15">
        <f t="shared" si="4"/>
        <v>1.0000000000000009E-3</v>
      </c>
      <c r="H10" s="15">
        <f t="shared" si="5"/>
        <v>-3.8000000000000256E-3</v>
      </c>
      <c r="I10" s="15">
        <f t="shared" si="6"/>
        <v>1.7172732048999773E-3</v>
      </c>
      <c r="J10" s="18">
        <v>28272006</v>
      </c>
      <c r="K10" s="23">
        <f t="shared" si="7"/>
        <v>0.36318805027040152</v>
      </c>
      <c r="L10" s="17">
        <v>6.1499999999999999E-2</v>
      </c>
      <c r="M10" s="17">
        <v>0.95760000000000001</v>
      </c>
      <c r="N10" s="17">
        <f t="shared" si="8"/>
        <v>0.11557727406535179</v>
      </c>
      <c r="O10" s="15">
        <f t="shared" si="9"/>
        <v>1.0000000000000009E-3</v>
      </c>
      <c r="P10" s="15">
        <f t="shared" si="10"/>
        <v>-2.2999999999999687E-3</v>
      </c>
      <c r="Q10" s="15">
        <f t="shared" si="11"/>
        <v>1.7514214585309246E-3</v>
      </c>
      <c r="R10" s="10" t="s">
        <v>9</v>
      </c>
    </row>
    <row r="11" spans="1:18" s="12" customFormat="1" x14ac:dyDescent="0.3">
      <c r="A11" s="32" t="s">
        <v>76</v>
      </c>
      <c r="B11" s="18"/>
      <c r="C11" s="23">
        <f t="shared" si="2"/>
        <v>0</v>
      </c>
      <c r="D11" s="17"/>
      <c r="E11" s="17"/>
      <c r="F11" s="17" t="e">
        <f t="shared" si="3"/>
        <v>#DIV/0!</v>
      </c>
      <c r="G11" s="15">
        <f t="shared" si="4"/>
        <v>-6.6000000000000003E-2</v>
      </c>
      <c r="H11" s="15">
        <f t="shared" si="5"/>
        <v>-0.96160000000000001</v>
      </c>
      <c r="I11" s="15" t="e">
        <f t="shared" si="6"/>
        <v>#DIV/0!</v>
      </c>
      <c r="J11" s="18"/>
      <c r="K11" s="23">
        <f t="shared" si="7"/>
        <v>0</v>
      </c>
      <c r="L11" s="17"/>
      <c r="M11" s="17"/>
      <c r="N11" s="17" t="e">
        <f t="shared" si="8"/>
        <v>#DIV/0!</v>
      </c>
      <c r="O11" s="15">
        <f t="shared" si="9"/>
        <v>-6.0499999999999998E-2</v>
      </c>
      <c r="P11" s="15">
        <f t="shared" si="10"/>
        <v>-0.95989999999999998</v>
      </c>
      <c r="Q11" s="15" t="e">
        <f t="shared" si="11"/>
        <v>#DIV/0!</v>
      </c>
      <c r="R11" s="10" t="s">
        <v>77</v>
      </c>
    </row>
    <row r="12" spans="1:18" s="12" customFormat="1" x14ac:dyDescent="0.3">
      <c r="A12" s="33" t="s">
        <v>47</v>
      </c>
      <c r="B12" s="34">
        <v>642683176</v>
      </c>
      <c r="C12" s="23">
        <f t="shared" si="2"/>
        <v>3.6653715996729672</v>
      </c>
      <c r="D12" s="17">
        <v>6.6000000000000003E-2</v>
      </c>
      <c r="E12" s="17">
        <v>0.9617</v>
      </c>
      <c r="F12" s="17">
        <f t="shared" si="3"/>
        <v>0.12352281794297948</v>
      </c>
      <c r="G12" s="15">
        <f t="shared" si="4"/>
        <v>0</v>
      </c>
      <c r="H12" s="15">
        <f t="shared" si="5"/>
        <v>9.9999999999988987E-5</v>
      </c>
      <c r="I12" s="15">
        <f t="shared" si="6"/>
        <v>8.249495968559728E-7</v>
      </c>
      <c r="J12" s="34">
        <v>286005859</v>
      </c>
      <c r="K12" s="23">
        <f t="shared" si="7"/>
        <v>3.6740905578515144</v>
      </c>
      <c r="L12" s="17">
        <v>6.0499999999999998E-2</v>
      </c>
      <c r="M12" s="17">
        <v>0.96009999999999995</v>
      </c>
      <c r="N12" s="17">
        <f t="shared" si="8"/>
        <v>0.11382725847540662</v>
      </c>
      <c r="O12" s="15">
        <f t="shared" si="9"/>
        <v>0</v>
      </c>
      <c r="P12" s="15">
        <f t="shared" si="10"/>
        <v>1.9999999999997797E-4</v>
      </c>
      <c r="Q12" s="15">
        <f t="shared" si="11"/>
        <v>1.4058685857548658E-6</v>
      </c>
      <c r="R12" s="10" t="s">
        <v>9</v>
      </c>
    </row>
    <row r="13" spans="1:18" s="12" customFormat="1" x14ac:dyDescent="0.3">
      <c r="A13" s="33" t="s">
        <v>48</v>
      </c>
      <c r="B13" s="34">
        <v>570828844</v>
      </c>
      <c r="C13" s="23">
        <f t="shared" si="2"/>
        <v>3.2555696355613808</v>
      </c>
      <c r="D13" s="17">
        <v>6.6000000000000003E-2</v>
      </c>
      <c r="E13" s="17">
        <v>0.96160000000000001</v>
      </c>
      <c r="F13" s="17">
        <f t="shared" si="3"/>
        <v>0.12352199299338262</v>
      </c>
      <c r="G13" s="15">
        <f t="shared" si="4"/>
        <v>0</v>
      </c>
      <c r="H13" s="15">
        <f t="shared" si="5"/>
        <v>0</v>
      </c>
      <c r="I13" s="15">
        <f t="shared" si="6"/>
        <v>0</v>
      </c>
      <c r="J13" s="34">
        <v>254275065</v>
      </c>
      <c r="K13" s="23">
        <f t="shared" si="7"/>
        <v>3.2664701998765002</v>
      </c>
      <c r="L13" s="17">
        <v>6.0600000000000001E-2</v>
      </c>
      <c r="M13" s="17">
        <v>0.95930000000000004</v>
      </c>
      <c r="N13" s="17">
        <f t="shared" si="8"/>
        <v>0.11399858809687224</v>
      </c>
      <c r="O13" s="15">
        <f t="shared" si="9"/>
        <v>1.0000000000000286E-4</v>
      </c>
      <c r="P13" s="15">
        <f t="shared" si="10"/>
        <v>-5.9999999999993392E-4</v>
      </c>
      <c r="Q13" s="15">
        <f t="shared" si="11"/>
        <v>1.7273549005138167E-4</v>
      </c>
      <c r="R13" s="10" t="s">
        <v>9</v>
      </c>
    </row>
    <row r="14" spans="1:18" s="12" customFormat="1" x14ac:dyDescent="0.3">
      <c r="A14" s="32" t="s">
        <v>49</v>
      </c>
      <c r="B14" s="18">
        <v>247127738</v>
      </c>
      <c r="C14" s="23">
        <f t="shared" si="2"/>
        <v>1.4094269558981296</v>
      </c>
      <c r="D14" s="17">
        <v>6.3500000000000001E-2</v>
      </c>
      <c r="E14" s="17">
        <v>0.96289999999999998</v>
      </c>
      <c r="F14" s="17">
        <f t="shared" si="3"/>
        <v>0.11914292673421668</v>
      </c>
      <c r="G14" s="15">
        <f t="shared" si="4"/>
        <v>-2.5000000000000022E-3</v>
      </c>
      <c r="H14" s="15">
        <f t="shared" si="5"/>
        <v>1.2999999999999678E-3</v>
      </c>
      <c r="I14" s="15">
        <f t="shared" si="6"/>
        <v>-4.3790662591659396E-3</v>
      </c>
      <c r="J14" s="18">
        <v>108111613</v>
      </c>
      <c r="K14" s="23">
        <f t="shared" si="7"/>
        <v>1.3888241936938679</v>
      </c>
      <c r="L14" s="17">
        <v>0.59499999999999997</v>
      </c>
      <c r="M14" s="17">
        <v>0.96589999999999998</v>
      </c>
      <c r="N14" s="17">
        <f t="shared" si="8"/>
        <v>0.73638349670062142</v>
      </c>
      <c r="O14" s="15">
        <f t="shared" si="9"/>
        <v>0.53449999999999998</v>
      </c>
      <c r="P14" s="15">
        <f t="shared" si="10"/>
        <v>6.0000000000000053E-3</v>
      </c>
      <c r="Q14" s="15">
        <f t="shared" si="11"/>
        <v>0.62255764409380054</v>
      </c>
      <c r="R14" s="10" t="s">
        <v>9</v>
      </c>
    </row>
    <row r="15" spans="1:18" s="12" customFormat="1" ht="36" customHeight="1" x14ac:dyDescent="0.3">
      <c r="A15" s="35"/>
      <c r="B15" s="36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</row>
    <row r="16" spans="1:18" s="12" customFormat="1" ht="18" x14ac:dyDescent="0.35">
      <c r="A16" s="46" t="s">
        <v>60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spans="1:18" s="12" customFormat="1" x14ac:dyDescent="0.3">
      <c r="A17" s="49"/>
      <c r="B17" s="60" t="s">
        <v>15</v>
      </c>
      <c r="C17" s="61"/>
      <c r="D17" s="61"/>
      <c r="E17" s="61"/>
      <c r="F17" s="61"/>
      <c r="G17" s="61"/>
      <c r="H17" s="61"/>
      <c r="I17" s="62"/>
      <c r="J17" s="60" t="s">
        <v>14</v>
      </c>
      <c r="K17" s="61"/>
      <c r="L17" s="61"/>
      <c r="M17" s="61"/>
      <c r="N17" s="61"/>
      <c r="O17" s="61"/>
      <c r="P17" s="61"/>
      <c r="Q17" s="62"/>
      <c r="R17" s="55" t="s">
        <v>65</v>
      </c>
    </row>
    <row r="18" spans="1:18" s="12" customFormat="1" x14ac:dyDescent="0.3">
      <c r="A18" s="49"/>
      <c r="B18" s="55" t="s">
        <v>8</v>
      </c>
      <c r="C18" s="55" t="s">
        <v>46</v>
      </c>
      <c r="D18" s="57" t="s">
        <v>74</v>
      </c>
      <c r="E18" s="58"/>
      <c r="F18" s="59"/>
      <c r="G18" s="57" t="s">
        <v>71</v>
      </c>
      <c r="H18" s="58"/>
      <c r="I18" s="59"/>
      <c r="J18" s="55" t="s">
        <v>8</v>
      </c>
      <c r="K18" s="55" t="s">
        <v>46</v>
      </c>
      <c r="L18" s="57" t="s">
        <v>74</v>
      </c>
      <c r="M18" s="58"/>
      <c r="N18" s="59"/>
      <c r="O18" s="57" t="s">
        <v>71</v>
      </c>
      <c r="P18" s="58"/>
      <c r="Q18" s="59"/>
      <c r="R18" s="66"/>
    </row>
    <row r="19" spans="1:18" s="12" customFormat="1" x14ac:dyDescent="0.3">
      <c r="A19" s="49"/>
      <c r="B19" s="56"/>
      <c r="C19" s="56"/>
      <c r="D19" s="41" t="s">
        <v>75</v>
      </c>
      <c r="E19" s="40" t="s">
        <v>2</v>
      </c>
      <c r="F19" s="40" t="s">
        <v>3</v>
      </c>
      <c r="G19" s="41" t="s">
        <v>75</v>
      </c>
      <c r="H19" s="40" t="s">
        <v>2</v>
      </c>
      <c r="I19" s="40" t="s">
        <v>3</v>
      </c>
      <c r="J19" s="56"/>
      <c r="K19" s="56"/>
      <c r="L19" s="41" t="s">
        <v>75</v>
      </c>
      <c r="M19" s="40" t="s">
        <v>2</v>
      </c>
      <c r="N19" s="40" t="s">
        <v>3</v>
      </c>
      <c r="O19" s="41" t="s">
        <v>75</v>
      </c>
      <c r="P19" s="40" t="s">
        <v>2</v>
      </c>
      <c r="Q19" s="40" t="s">
        <v>3</v>
      </c>
      <c r="R19" s="56"/>
    </row>
    <row r="20" spans="1:18" s="12" customFormat="1" x14ac:dyDescent="0.3">
      <c r="A20" s="32" t="s">
        <v>0</v>
      </c>
      <c r="B20" s="18">
        <v>6696582269</v>
      </c>
      <c r="C20" s="23">
        <f>(B20/$B$20)*8</f>
        <v>8</v>
      </c>
      <c r="D20" s="17">
        <v>0.7248</v>
      </c>
      <c r="E20" s="17">
        <v>0.99960000000000004</v>
      </c>
      <c r="F20" s="17">
        <f t="shared" ref="F20:F29" si="12">2*((D20*E20)/(D20+E20))</f>
        <v>0.84030396659707718</v>
      </c>
      <c r="G20" s="15">
        <f>D20-D$20</f>
        <v>0</v>
      </c>
      <c r="H20" s="15">
        <f t="shared" ref="H20:I20" si="13">E20-E$20</f>
        <v>0</v>
      </c>
      <c r="I20" s="15">
        <f t="shared" si="13"/>
        <v>0</v>
      </c>
      <c r="J20" s="18">
        <v>3017194085</v>
      </c>
      <c r="K20" s="23">
        <f>(J20/$J$20)*8</f>
        <v>8</v>
      </c>
      <c r="L20" s="17">
        <v>0.72970000000000002</v>
      </c>
      <c r="M20" s="17">
        <v>0.99970000000000003</v>
      </c>
      <c r="N20" s="17">
        <f t="shared" ref="N20:N29" si="14">2*((L20*M20)/(L20+M20))</f>
        <v>0.84362332600902046</v>
      </c>
      <c r="O20" s="15">
        <f>L20-L$20</f>
        <v>0</v>
      </c>
      <c r="P20" s="15">
        <f t="shared" ref="P20" si="15">M20-M$20</f>
        <v>0</v>
      </c>
      <c r="Q20" s="15">
        <f>N20-N$20</f>
        <v>0</v>
      </c>
      <c r="R20" s="10" t="s">
        <v>9</v>
      </c>
    </row>
    <row r="21" spans="1:18" s="12" customFormat="1" x14ac:dyDescent="0.3">
      <c r="A21" s="32" t="s">
        <v>22</v>
      </c>
      <c r="B21" s="18">
        <v>814504450</v>
      </c>
      <c r="C21" s="23">
        <f t="shared" ref="C21:C29" si="16">(B21/$B$20)*8</f>
        <v>0.97303898290986557</v>
      </c>
      <c r="D21" s="17">
        <v>0.72389999999999999</v>
      </c>
      <c r="E21" s="17">
        <v>0.99960000000000004</v>
      </c>
      <c r="F21" s="17">
        <f t="shared" si="12"/>
        <v>0.8396987989556135</v>
      </c>
      <c r="G21" s="15">
        <f t="shared" ref="G21:G29" si="17">D21-D$20</f>
        <v>-9.000000000000119E-4</v>
      </c>
      <c r="H21" s="15">
        <f t="shared" ref="H21:H29" si="18">E21-E$20</f>
        <v>0</v>
      </c>
      <c r="I21" s="15">
        <f t="shared" ref="I21:I29" si="19">F21-F$20</f>
        <v>-6.0516764146367752E-4</v>
      </c>
      <c r="J21" s="18">
        <v>383733965</v>
      </c>
      <c r="K21" s="23">
        <f t="shared" ref="K21:K29" si="20">(J21/$J$20)*8</f>
        <v>1.0174591469809275</v>
      </c>
      <c r="L21" s="17">
        <v>0.72870000000000001</v>
      </c>
      <c r="M21" s="17">
        <v>0.99970000000000003</v>
      </c>
      <c r="N21" s="17">
        <f t="shared" si="14"/>
        <v>0.84295462855820402</v>
      </c>
      <c r="O21" s="15">
        <f t="shared" ref="O21:O29" si="21">L21-L$20</f>
        <v>-1.0000000000000009E-3</v>
      </c>
      <c r="P21" s="15">
        <f t="shared" ref="P21:P29" si="22">M21-M$20</f>
        <v>0</v>
      </c>
      <c r="Q21" s="15">
        <f t="shared" ref="Q21:Q29" si="23">N21-N$20</f>
        <v>-6.6869745081643561E-4</v>
      </c>
      <c r="R21" s="10" t="s">
        <v>9</v>
      </c>
    </row>
    <row r="22" spans="1:18" s="12" customFormat="1" x14ac:dyDescent="0.3">
      <c r="A22" s="32" t="s">
        <v>23</v>
      </c>
      <c r="B22" s="18">
        <v>583280511</v>
      </c>
      <c r="C22" s="23">
        <f t="shared" si="16"/>
        <v>0.69680979051076597</v>
      </c>
      <c r="D22" s="17">
        <v>0.72340000000000004</v>
      </c>
      <c r="E22" s="17">
        <v>0.99960000000000004</v>
      </c>
      <c r="F22" s="17">
        <f t="shared" si="12"/>
        <v>0.83936232153221124</v>
      </c>
      <c r="G22" s="15">
        <f t="shared" si="17"/>
        <v>-1.3999999999999568E-3</v>
      </c>
      <c r="H22" s="15">
        <f t="shared" si="18"/>
        <v>0</v>
      </c>
      <c r="I22" s="15">
        <f t="shared" si="19"/>
        <v>-9.4164506486593691E-4</v>
      </c>
      <c r="J22" s="18">
        <v>277566711</v>
      </c>
      <c r="K22" s="23">
        <f t="shared" si="20"/>
        <v>0.73595984396210956</v>
      </c>
      <c r="L22" s="17">
        <v>0.72760000000000002</v>
      </c>
      <c r="M22" s="17">
        <v>0.99970000000000003</v>
      </c>
      <c r="N22" s="17">
        <f t="shared" si="14"/>
        <v>0.84221816708157238</v>
      </c>
      <c r="O22" s="15">
        <f t="shared" si="21"/>
        <v>-2.0999999999999908E-3</v>
      </c>
      <c r="P22" s="15">
        <f t="shared" si="22"/>
        <v>0</v>
      </c>
      <c r="Q22" s="15">
        <f t="shared" si="23"/>
        <v>-1.4051589274480802E-3</v>
      </c>
      <c r="R22" s="10" t="s">
        <v>9</v>
      </c>
    </row>
    <row r="23" spans="1:18" s="12" customFormat="1" x14ac:dyDescent="0.3">
      <c r="A23" s="32" t="s">
        <v>24</v>
      </c>
      <c r="B23" s="18">
        <v>369338993</v>
      </c>
      <c r="C23" s="23">
        <f t="shared" si="16"/>
        <v>0.44122685652321969</v>
      </c>
      <c r="D23" s="17">
        <v>0.72009999999999996</v>
      </c>
      <c r="E23" s="17">
        <v>0.99960000000000004</v>
      </c>
      <c r="F23" s="17">
        <f t="shared" si="12"/>
        <v>0.83713666337151826</v>
      </c>
      <c r="G23" s="15">
        <f t="shared" si="17"/>
        <v>-4.7000000000000375E-3</v>
      </c>
      <c r="H23" s="15">
        <f t="shared" si="18"/>
        <v>0</v>
      </c>
      <c r="I23" s="15">
        <f t="shared" si="19"/>
        <v>-3.1673032255589151E-3</v>
      </c>
      <c r="J23" s="18">
        <v>175908797</v>
      </c>
      <c r="K23" s="23">
        <f t="shared" si="20"/>
        <v>0.46641692127008133</v>
      </c>
      <c r="L23" s="17">
        <v>0.72289999999999999</v>
      </c>
      <c r="M23" s="17">
        <v>0.99970000000000003</v>
      </c>
      <c r="N23" s="17">
        <f t="shared" si="14"/>
        <v>0.83906087309880428</v>
      </c>
      <c r="O23" s="15">
        <f t="shared" si="21"/>
        <v>-6.8000000000000282E-3</v>
      </c>
      <c r="P23" s="15">
        <f t="shared" si="22"/>
        <v>0</v>
      </c>
      <c r="Q23" s="15">
        <f t="shared" si="23"/>
        <v>-4.5624529102161748E-3</v>
      </c>
      <c r="R23" s="10" t="s">
        <v>9</v>
      </c>
    </row>
    <row r="24" spans="1:18" s="12" customFormat="1" x14ac:dyDescent="0.3">
      <c r="A24" s="32" t="s">
        <v>25</v>
      </c>
      <c r="B24" s="18">
        <v>259975714</v>
      </c>
      <c r="C24" s="23">
        <f t="shared" si="16"/>
        <v>0.31057719123796818</v>
      </c>
      <c r="D24" s="17">
        <v>0.72340000000000004</v>
      </c>
      <c r="E24" s="17">
        <v>0.99960000000000004</v>
      </c>
      <c r="F24" s="17">
        <f t="shared" si="12"/>
        <v>0.83936232153221124</v>
      </c>
      <c r="G24" s="15">
        <f t="shared" si="17"/>
        <v>-1.3999999999999568E-3</v>
      </c>
      <c r="H24" s="15">
        <f t="shared" si="18"/>
        <v>0</v>
      </c>
      <c r="I24" s="15">
        <f t="shared" si="19"/>
        <v>-9.4164506486593691E-4</v>
      </c>
      <c r="J24" s="18">
        <v>125973247</v>
      </c>
      <c r="K24" s="23">
        <f t="shared" si="20"/>
        <v>0.33401430190063491</v>
      </c>
      <c r="L24" s="17">
        <v>0.72699999999999998</v>
      </c>
      <c r="M24" s="17">
        <v>0.99970000000000003</v>
      </c>
      <c r="N24" s="17">
        <f t="shared" si="14"/>
        <v>0.8418160653269241</v>
      </c>
      <c r="O24" s="15">
        <f t="shared" si="21"/>
        <v>-2.7000000000000357E-3</v>
      </c>
      <c r="P24" s="15">
        <f t="shared" si="22"/>
        <v>0</v>
      </c>
      <c r="Q24" s="15">
        <f t="shared" si="23"/>
        <v>-1.8072606820963566E-3</v>
      </c>
      <c r="R24" s="10" t="s">
        <v>9</v>
      </c>
    </row>
    <row r="25" spans="1:18" s="12" customFormat="1" x14ac:dyDescent="0.3">
      <c r="A25" s="32" t="s">
        <v>26</v>
      </c>
      <c r="B25" s="18">
        <v>152385057</v>
      </c>
      <c r="C25" s="23">
        <f t="shared" si="16"/>
        <v>0.18204516976419452</v>
      </c>
      <c r="D25" s="17">
        <v>0.72760000000000002</v>
      </c>
      <c r="E25" s="17">
        <v>0.99950000000000006</v>
      </c>
      <c r="F25" s="17">
        <f t="shared" si="12"/>
        <v>0.84214718313936665</v>
      </c>
      <c r="G25" s="15">
        <f t="shared" si="17"/>
        <v>2.8000000000000247E-3</v>
      </c>
      <c r="H25" s="15">
        <f t="shared" si="18"/>
        <v>-9.9999999999988987E-5</v>
      </c>
      <c r="I25" s="15">
        <f t="shared" si="19"/>
        <v>1.843216542289472E-3</v>
      </c>
      <c r="J25" s="18">
        <v>74727311</v>
      </c>
      <c r="K25" s="23">
        <f t="shared" si="20"/>
        <v>0.19813723319028712</v>
      </c>
      <c r="L25" s="17">
        <v>0.73319999999999996</v>
      </c>
      <c r="M25" s="17">
        <v>0.99960000000000004</v>
      </c>
      <c r="N25" s="17">
        <f t="shared" si="14"/>
        <v>0.84592188365650967</v>
      </c>
      <c r="O25" s="15">
        <f t="shared" si="21"/>
        <v>3.4999999999999476E-3</v>
      </c>
      <c r="P25" s="15">
        <f t="shared" si="22"/>
        <v>-9.9999999999988987E-5</v>
      </c>
      <c r="Q25" s="15">
        <f t="shared" si="23"/>
        <v>2.2985576474892078E-3</v>
      </c>
      <c r="R25" s="10" t="s">
        <v>9</v>
      </c>
    </row>
    <row r="26" spans="1:18" s="12" customFormat="1" x14ac:dyDescent="0.3">
      <c r="A26" s="32" t="s">
        <v>76</v>
      </c>
      <c r="B26" s="18"/>
      <c r="C26" s="23">
        <f t="shared" si="16"/>
        <v>0</v>
      </c>
      <c r="D26" s="17"/>
      <c r="E26" s="17"/>
      <c r="F26" s="17" t="e">
        <f t="shared" si="12"/>
        <v>#DIV/0!</v>
      </c>
      <c r="G26" s="15">
        <f t="shared" si="17"/>
        <v>-0.7248</v>
      </c>
      <c r="H26" s="15">
        <f t="shared" si="18"/>
        <v>-0.99960000000000004</v>
      </c>
      <c r="I26" s="15" t="e">
        <f t="shared" si="19"/>
        <v>#DIV/0!</v>
      </c>
      <c r="J26" s="18"/>
      <c r="K26" s="23">
        <f t="shared" si="20"/>
        <v>0</v>
      </c>
      <c r="L26" s="17"/>
      <c r="M26" s="17"/>
      <c r="N26" s="17" t="e">
        <f t="shared" si="14"/>
        <v>#DIV/0!</v>
      </c>
      <c r="O26" s="15">
        <f t="shared" si="21"/>
        <v>-0.72970000000000002</v>
      </c>
      <c r="P26" s="15">
        <f t="shared" si="22"/>
        <v>-0.99970000000000003</v>
      </c>
      <c r="Q26" s="15" t="e">
        <f t="shared" si="23"/>
        <v>#DIV/0!</v>
      </c>
      <c r="R26" s="10" t="s">
        <v>77</v>
      </c>
    </row>
    <row r="27" spans="1:18" s="12" customFormat="1" x14ac:dyDescent="0.3">
      <c r="A27" s="33" t="s">
        <v>47</v>
      </c>
      <c r="B27" s="34">
        <v>328644318</v>
      </c>
      <c r="C27" s="23">
        <f t="shared" si="16"/>
        <v>0.39261140062012728</v>
      </c>
      <c r="D27" s="17">
        <v>0.72889999999999999</v>
      </c>
      <c r="E27" s="17">
        <v>0.99960000000000004</v>
      </c>
      <c r="F27" s="17">
        <f t="shared" si="12"/>
        <v>0.84305286664738222</v>
      </c>
      <c r="G27" s="15">
        <f t="shared" si="17"/>
        <v>4.0999999999999925E-3</v>
      </c>
      <c r="H27" s="15">
        <f t="shared" si="18"/>
        <v>0</v>
      </c>
      <c r="I27" s="15">
        <f t="shared" si="19"/>
        <v>2.7489000503050365E-3</v>
      </c>
      <c r="J27" s="34">
        <v>147471578</v>
      </c>
      <c r="K27" s="23">
        <f t="shared" si="20"/>
        <v>0.3910164844433599</v>
      </c>
      <c r="L27" s="17">
        <v>0.73519999999999996</v>
      </c>
      <c r="M27" s="17">
        <v>0.99970000000000003</v>
      </c>
      <c r="N27" s="17">
        <f t="shared" si="14"/>
        <v>0.84728738255807245</v>
      </c>
      <c r="O27" s="15">
        <f t="shared" si="21"/>
        <v>5.4999999999999494E-3</v>
      </c>
      <c r="P27" s="15">
        <f t="shared" si="22"/>
        <v>0</v>
      </c>
      <c r="Q27" s="15">
        <f t="shared" si="23"/>
        <v>3.6640565490519972E-3</v>
      </c>
      <c r="R27" s="10" t="s">
        <v>9</v>
      </c>
    </row>
    <row r="28" spans="1:18" s="12" customFormat="1" x14ac:dyDescent="0.3">
      <c r="A28" s="33" t="s">
        <v>48</v>
      </c>
      <c r="B28" s="34">
        <v>246283161</v>
      </c>
      <c r="C28" s="23">
        <f t="shared" si="16"/>
        <v>0.29421953003113327</v>
      </c>
      <c r="D28" s="17">
        <v>0.72970000000000002</v>
      </c>
      <c r="E28" s="17">
        <v>0.99960000000000004</v>
      </c>
      <c r="F28" s="17">
        <f t="shared" si="12"/>
        <v>0.84358771757358464</v>
      </c>
      <c r="G28" s="15">
        <f t="shared" si="17"/>
        <v>4.9000000000000155E-3</v>
      </c>
      <c r="H28" s="15">
        <f t="shared" si="18"/>
        <v>0</v>
      </c>
      <c r="I28" s="15">
        <f t="shared" si="19"/>
        <v>3.2837509765074602E-3</v>
      </c>
      <c r="J28" s="34">
        <v>104264203</v>
      </c>
      <c r="K28" s="23">
        <f t="shared" si="20"/>
        <v>0.27645342013190377</v>
      </c>
      <c r="L28" s="17">
        <v>0.73629999999999995</v>
      </c>
      <c r="M28" s="17">
        <v>0.99970000000000003</v>
      </c>
      <c r="N28" s="17">
        <f t="shared" si="14"/>
        <v>0.84801740783410129</v>
      </c>
      <c r="O28" s="15">
        <f t="shared" si="21"/>
        <v>6.5999999999999392E-3</v>
      </c>
      <c r="P28" s="15">
        <f t="shared" si="22"/>
        <v>0</v>
      </c>
      <c r="Q28" s="15">
        <f t="shared" si="23"/>
        <v>4.3940818250808311E-3</v>
      </c>
      <c r="R28" s="10" t="s">
        <v>9</v>
      </c>
    </row>
    <row r="29" spans="1:18" s="12" customFormat="1" x14ac:dyDescent="0.3">
      <c r="A29" s="14" t="s">
        <v>49</v>
      </c>
      <c r="B29" s="18">
        <f>183388108+441990027</f>
        <v>625378135</v>
      </c>
      <c r="C29" s="23">
        <f t="shared" si="16"/>
        <v>0.74710126435094204</v>
      </c>
      <c r="D29" s="20">
        <v>0.76400000000000001</v>
      </c>
      <c r="E29" s="20">
        <v>0.99950000000000006</v>
      </c>
      <c r="F29" s="20">
        <f t="shared" si="12"/>
        <v>0.86602551743691525</v>
      </c>
      <c r="G29" s="15">
        <f t="shared" si="17"/>
        <v>3.9200000000000013E-2</v>
      </c>
      <c r="H29" s="15">
        <f t="shared" si="18"/>
        <v>-9.9999999999988987E-5</v>
      </c>
      <c r="I29" s="15">
        <f t="shared" si="19"/>
        <v>2.572155083983807E-2</v>
      </c>
      <c r="J29" s="18">
        <f>80955157+206355779</f>
        <v>287310936</v>
      </c>
      <c r="K29" s="23">
        <f t="shared" si="20"/>
        <v>0.76179636551289343</v>
      </c>
      <c r="L29" s="20">
        <v>0.77539999999999998</v>
      </c>
      <c r="M29" s="20">
        <v>0.99970000000000003</v>
      </c>
      <c r="N29" s="20">
        <f t="shared" si="14"/>
        <v>0.87337882936172595</v>
      </c>
      <c r="O29" s="15">
        <f t="shared" si="21"/>
        <v>4.5699999999999963E-2</v>
      </c>
      <c r="P29" s="15">
        <f t="shared" si="22"/>
        <v>0</v>
      </c>
      <c r="Q29" s="15">
        <f t="shared" si="23"/>
        <v>2.9755503352705492E-2</v>
      </c>
      <c r="R29" s="13" t="s">
        <v>9</v>
      </c>
    </row>
    <row r="30" spans="1:18" s="12" customFormat="1" ht="36" customHeight="1" x14ac:dyDescent="0.3">
      <c r="A30" s="7"/>
      <c r="B30" s="8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8" s="12" customFormat="1" ht="18" x14ac:dyDescent="0.35">
      <c r="A31" s="65" t="s">
        <v>69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s="12" customFormat="1" x14ac:dyDescent="0.3">
      <c r="A32" s="48"/>
      <c r="B32" s="57" t="s">
        <v>15</v>
      </c>
      <c r="C32" s="58"/>
      <c r="D32" s="58"/>
      <c r="E32" s="58"/>
      <c r="F32" s="58"/>
      <c r="G32" s="58"/>
      <c r="H32" s="58"/>
      <c r="I32" s="59"/>
      <c r="J32" s="57" t="s">
        <v>14</v>
      </c>
      <c r="K32" s="58"/>
      <c r="L32" s="58"/>
      <c r="M32" s="58"/>
      <c r="N32" s="58"/>
      <c r="O32" s="58"/>
      <c r="P32" s="58"/>
      <c r="Q32" s="59"/>
      <c r="R32" s="53" t="s">
        <v>65</v>
      </c>
    </row>
    <row r="33" spans="1:18" s="12" customFormat="1" x14ac:dyDescent="0.3">
      <c r="A33" s="48"/>
      <c r="B33" s="53" t="s">
        <v>8</v>
      </c>
      <c r="C33" s="53" t="s">
        <v>46</v>
      </c>
      <c r="D33" s="57" t="s">
        <v>74</v>
      </c>
      <c r="E33" s="58"/>
      <c r="F33" s="59"/>
      <c r="G33" s="57" t="s">
        <v>71</v>
      </c>
      <c r="H33" s="58"/>
      <c r="I33" s="59"/>
      <c r="J33" s="53" t="s">
        <v>8</v>
      </c>
      <c r="K33" s="53" t="s">
        <v>46</v>
      </c>
      <c r="L33" s="57" t="s">
        <v>74</v>
      </c>
      <c r="M33" s="58"/>
      <c r="N33" s="59"/>
      <c r="O33" s="57" t="s">
        <v>71</v>
      </c>
      <c r="P33" s="58"/>
      <c r="Q33" s="59"/>
      <c r="R33" s="64"/>
    </row>
    <row r="34" spans="1:18" s="12" customFormat="1" x14ac:dyDescent="0.3">
      <c r="A34" s="48"/>
      <c r="B34" s="54"/>
      <c r="C34" s="54"/>
      <c r="D34" s="41" t="s">
        <v>75</v>
      </c>
      <c r="E34" s="40" t="s">
        <v>2</v>
      </c>
      <c r="F34" s="40" t="s">
        <v>3</v>
      </c>
      <c r="G34" s="41" t="s">
        <v>75</v>
      </c>
      <c r="H34" s="40" t="s">
        <v>2</v>
      </c>
      <c r="I34" s="40" t="s">
        <v>3</v>
      </c>
      <c r="J34" s="54"/>
      <c r="K34" s="54"/>
      <c r="L34" s="41" t="s">
        <v>75</v>
      </c>
      <c r="M34" s="40" t="s">
        <v>2</v>
      </c>
      <c r="N34" s="40" t="s">
        <v>3</v>
      </c>
      <c r="O34" s="41" t="s">
        <v>75</v>
      </c>
      <c r="P34" s="40" t="s">
        <v>2</v>
      </c>
      <c r="Q34" s="40" t="s">
        <v>3</v>
      </c>
      <c r="R34" s="54"/>
    </row>
    <row r="35" spans="1:18" s="12" customFormat="1" x14ac:dyDescent="0.3">
      <c r="A35" s="14" t="s">
        <v>0</v>
      </c>
      <c r="B35" s="16">
        <v>1986669293</v>
      </c>
      <c r="C35" s="24">
        <f t="shared" ref="C35:C44" si="24">(B35/$B$35)*8</f>
        <v>8</v>
      </c>
      <c r="D35" s="17">
        <v>0.77590000000000003</v>
      </c>
      <c r="E35" s="17">
        <v>0.99839999999999995</v>
      </c>
      <c r="F35" s="17">
        <f>2*((D35*E35)/(D35+E35))</f>
        <v>0.87319907569182209</v>
      </c>
      <c r="G35" s="15">
        <f>D35-D$35</f>
        <v>0</v>
      </c>
      <c r="H35" s="15">
        <f t="shared" ref="H35:I35" si="25">E35-E$35</f>
        <v>0</v>
      </c>
      <c r="I35" s="15">
        <f t="shared" si="25"/>
        <v>0</v>
      </c>
      <c r="J35" s="16">
        <v>880786761</v>
      </c>
      <c r="K35" s="24">
        <f t="shared" ref="K35:K44" si="26">(J35/$J$35)*8</f>
        <v>8</v>
      </c>
      <c r="L35" s="17">
        <v>0.79469999999999996</v>
      </c>
      <c r="M35" s="17">
        <v>0.99809999999999999</v>
      </c>
      <c r="N35" s="17">
        <f>2*((L35*M35)/(L35+M35))</f>
        <v>0.88486174698795184</v>
      </c>
      <c r="O35" s="15">
        <f>L35-L$35</f>
        <v>0</v>
      </c>
      <c r="P35" s="15">
        <f t="shared" ref="P35:Q35" si="27">M35-M$35</f>
        <v>0</v>
      </c>
      <c r="Q35" s="15">
        <f t="shared" si="27"/>
        <v>0</v>
      </c>
      <c r="R35" s="13" t="s">
        <v>9</v>
      </c>
    </row>
    <row r="36" spans="1:18" s="12" customFormat="1" x14ac:dyDescent="0.3">
      <c r="A36" s="14" t="s">
        <v>22</v>
      </c>
      <c r="B36" s="16">
        <v>180808513</v>
      </c>
      <c r="C36" s="24">
        <f t="shared" si="24"/>
        <v>0.72808700929571368</v>
      </c>
      <c r="D36" s="17">
        <v>0.77549999999999997</v>
      </c>
      <c r="E36" s="17">
        <v>0.99839999999999995</v>
      </c>
      <c r="F36" s="17">
        <f t="shared" ref="F36:F44" si="28">2*((D36*E36)/(D36+E36))</f>
        <v>0.87294571283612377</v>
      </c>
      <c r="G36" s="15">
        <f t="shared" ref="G36:G44" si="29">D36-D$35</f>
        <v>-4.0000000000006697E-4</v>
      </c>
      <c r="H36" s="15">
        <f t="shared" ref="H36:H44" si="30">E36-E$35</f>
        <v>0</v>
      </c>
      <c r="I36" s="15">
        <f t="shared" ref="I36:I44" si="31">F36-F$35</f>
        <v>-2.5336285569832473E-4</v>
      </c>
      <c r="J36" s="16">
        <v>84415660</v>
      </c>
      <c r="K36" s="24">
        <f t="shared" si="26"/>
        <v>0.7667295989250229</v>
      </c>
      <c r="L36" s="17">
        <v>0.79459999999999997</v>
      </c>
      <c r="M36" s="17">
        <v>0.99819999999999998</v>
      </c>
      <c r="N36" s="17">
        <f t="shared" ref="N36:N44" si="32">2*((L36*M36)/(L36+M36))</f>
        <v>0.88483904506916555</v>
      </c>
      <c r="O36" s="15">
        <f t="shared" ref="O36:O44" si="33">L36-L$35</f>
        <v>-9.9999999999988987E-5</v>
      </c>
      <c r="P36" s="15">
        <f t="shared" ref="P36:P44" si="34">M36-M$35</f>
        <v>9.9999999999988987E-5</v>
      </c>
      <c r="Q36" s="15">
        <f t="shared" ref="Q36:Q44" si="35">N36-N$35</f>
        <v>-2.2701918786283137E-5</v>
      </c>
      <c r="R36" s="13" t="s">
        <v>9</v>
      </c>
    </row>
    <row r="37" spans="1:18" s="12" customFormat="1" x14ac:dyDescent="0.3">
      <c r="A37" s="14" t="s">
        <v>23</v>
      </c>
      <c r="B37" s="16">
        <v>93357561</v>
      </c>
      <c r="C37" s="24">
        <f t="shared" si="24"/>
        <v>0.37593599026851221</v>
      </c>
      <c r="D37" s="17">
        <v>0.77610000000000001</v>
      </c>
      <c r="E37" s="17">
        <v>0.99839999999999995</v>
      </c>
      <c r="F37" s="17">
        <f t="shared" si="28"/>
        <v>0.87332571428571437</v>
      </c>
      <c r="G37" s="15">
        <f t="shared" si="29"/>
        <v>1.9999999999997797E-4</v>
      </c>
      <c r="H37" s="15">
        <f t="shared" si="30"/>
        <v>0</v>
      </c>
      <c r="I37" s="15">
        <f t="shared" si="31"/>
        <v>1.2663859389228094E-4</v>
      </c>
      <c r="J37" s="16">
        <v>46732315</v>
      </c>
      <c r="K37" s="24">
        <f t="shared" si="26"/>
        <v>0.42445974048876511</v>
      </c>
      <c r="L37" s="17">
        <v>0.79510000000000003</v>
      </c>
      <c r="M37" s="17">
        <v>0.99809999999999999</v>
      </c>
      <c r="N37" s="17">
        <f t="shared" si="32"/>
        <v>0.88510964755743915</v>
      </c>
      <c r="O37" s="15">
        <f t="shared" si="33"/>
        <v>4.0000000000006697E-4</v>
      </c>
      <c r="P37" s="15">
        <f t="shared" si="34"/>
        <v>0</v>
      </c>
      <c r="Q37" s="15">
        <f t="shared" si="35"/>
        <v>2.4790056948731376E-4</v>
      </c>
      <c r="R37" s="13" t="s">
        <v>9</v>
      </c>
    </row>
    <row r="38" spans="1:18" s="12" customFormat="1" x14ac:dyDescent="0.3">
      <c r="A38" s="14" t="s">
        <v>24</v>
      </c>
      <c r="B38" s="16">
        <v>32931170</v>
      </c>
      <c r="C38" s="24">
        <f t="shared" si="24"/>
        <v>0.1326085629491833</v>
      </c>
      <c r="D38" s="17">
        <v>0.77710000000000001</v>
      </c>
      <c r="E38" s="17">
        <v>0.99739999999999995</v>
      </c>
      <c r="F38" s="17">
        <f t="shared" si="28"/>
        <v>0.87357513665821362</v>
      </c>
      <c r="G38" s="15">
        <f t="shared" si="29"/>
        <v>1.1999999999999789E-3</v>
      </c>
      <c r="H38" s="15">
        <f t="shared" si="30"/>
        <v>-1.0000000000000009E-3</v>
      </c>
      <c r="I38" s="15">
        <f t="shared" si="31"/>
        <v>3.7606096639153375E-4</v>
      </c>
      <c r="J38" s="16">
        <v>17191826</v>
      </c>
      <c r="K38" s="24">
        <f t="shared" si="26"/>
        <v>0.15614972214597125</v>
      </c>
      <c r="L38" s="17">
        <v>0.79610000000000003</v>
      </c>
      <c r="M38" s="17">
        <v>0.99709999999999999</v>
      </c>
      <c r="N38" s="17">
        <f t="shared" si="32"/>
        <v>0.8853349431184474</v>
      </c>
      <c r="O38" s="15">
        <f t="shared" si="33"/>
        <v>1.4000000000000679E-3</v>
      </c>
      <c r="P38" s="15">
        <f t="shared" si="34"/>
        <v>-1.0000000000000009E-3</v>
      </c>
      <c r="Q38" s="15">
        <f t="shared" si="35"/>
        <v>4.7319613049556786E-4</v>
      </c>
      <c r="R38" s="13" t="s">
        <v>9</v>
      </c>
    </row>
    <row r="39" spans="1:18" s="12" customFormat="1" x14ac:dyDescent="0.3">
      <c r="A39" s="14" t="s">
        <v>25</v>
      </c>
      <c r="B39" s="16">
        <v>9832950</v>
      </c>
      <c r="C39" s="24">
        <f t="shared" si="24"/>
        <v>3.9595719467336629E-2</v>
      </c>
      <c r="D39" s="17">
        <v>0.77810000000000001</v>
      </c>
      <c r="E39" s="17">
        <v>0.99219999999999997</v>
      </c>
      <c r="F39" s="17">
        <f t="shared" si="28"/>
        <v>0.87220337795853808</v>
      </c>
      <c r="G39" s="15">
        <f t="shared" si="29"/>
        <v>2.1999999999999797E-3</v>
      </c>
      <c r="H39" s="15">
        <f t="shared" si="30"/>
        <v>-6.1999999999999833E-3</v>
      </c>
      <c r="I39" s="15">
        <f t="shared" si="31"/>
        <v>-9.9569773328400668E-4</v>
      </c>
      <c r="J39" s="16">
        <v>5722879</v>
      </c>
      <c r="K39" s="24">
        <f t="shared" si="26"/>
        <v>5.1979700453285989E-2</v>
      </c>
      <c r="L39" s="17">
        <v>0.79759999999999998</v>
      </c>
      <c r="M39" s="17">
        <v>0.99109999999999998</v>
      </c>
      <c r="N39" s="17">
        <f t="shared" si="32"/>
        <v>0.88388366970425447</v>
      </c>
      <c r="O39" s="15">
        <f t="shared" si="33"/>
        <v>2.9000000000000137E-3</v>
      </c>
      <c r="P39" s="15">
        <f t="shared" si="34"/>
        <v>-7.0000000000000062E-3</v>
      </c>
      <c r="Q39" s="15">
        <f t="shared" si="35"/>
        <v>-9.7807728369736502E-4</v>
      </c>
      <c r="R39" s="13" t="s">
        <v>9</v>
      </c>
    </row>
    <row r="40" spans="1:18" s="12" customFormat="1" x14ac:dyDescent="0.3">
      <c r="A40" s="14" t="s">
        <v>26</v>
      </c>
      <c r="B40" s="16">
        <v>3480969</v>
      </c>
      <c r="C40" s="24">
        <f t="shared" si="24"/>
        <v>1.4017306301618062E-2</v>
      </c>
      <c r="D40" s="17">
        <v>0.77839999999999998</v>
      </c>
      <c r="E40" s="17">
        <v>0.98370000000000002</v>
      </c>
      <c r="F40" s="17">
        <f t="shared" si="28"/>
        <v>0.8690903807956416</v>
      </c>
      <c r="G40" s="15">
        <f t="shared" si="29"/>
        <v>2.4999999999999467E-3</v>
      </c>
      <c r="H40" s="15">
        <f t="shared" si="30"/>
        <v>-1.4699999999999935E-2</v>
      </c>
      <c r="I40" s="15">
        <f t="shared" si="31"/>
        <v>-4.108694896180487E-3</v>
      </c>
      <c r="J40" s="16">
        <v>1879305</v>
      </c>
      <c r="K40" s="24">
        <f t="shared" si="26"/>
        <v>1.7069330132676686E-2</v>
      </c>
      <c r="L40" s="17">
        <v>0.79779999999999995</v>
      </c>
      <c r="M40" s="17">
        <v>0.98060000000000003</v>
      </c>
      <c r="N40" s="17">
        <f t="shared" si="32"/>
        <v>0.87980508322087259</v>
      </c>
      <c r="O40" s="15">
        <f t="shared" si="33"/>
        <v>3.0999999999999917E-3</v>
      </c>
      <c r="P40" s="15">
        <f t="shared" si="34"/>
        <v>-1.749999999999996E-2</v>
      </c>
      <c r="Q40" s="15">
        <f t="shared" si="35"/>
        <v>-5.0566637670792502E-3</v>
      </c>
      <c r="R40" s="13" t="s">
        <v>9</v>
      </c>
    </row>
    <row r="41" spans="1:18" s="12" customFormat="1" x14ac:dyDescent="0.3">
      <c r="A41" s="32" t="s">
        <v>76</v>
      </c>
      <c r="B41" s="16"/>
      <c r="C41" s="24">
        <f t="shared" si="24"/>
        <v>0</v>
      </c>
      <c r="D41" s="17"/>
      <c r="E41" s="17"/>
      <c r="F41" s="17" t="e">
        <f t="shared" si="28"/>
        <v>#DIV/0!</v>
      </c>
      <c r="G41" s="15">
        <f t="shared" si="29"/>
        <v>-0.77590000000000003</v>
      </c>
      <c r="H41" s="15">
        <f t="shared" si="30"/>
        <v>-0.99839999999999995</v>
      </c>
      <c r="I41" s="15" t="e">
        <f t="shared" si="31"/>
        <v>#DIV/0!</v>
      </c>
      <c r="J41" s="16"/>
      <c r="K41" s="24">
        <f t="shared" si="26"/>
        <v>0</v>
      </c>
      <c r="L41" s="17"/>
      <c r="M41" s="17"/>
      <c r="N41" s="17" t="e">
        <f t="shared" si="32"/>
        <v>#DIV/0!</v>
      </c>
      <c r="O41" s="15">
        <f t="shared" si="33"/>
        <v>-0.79469999999999996</v>
      </c>
      <c r="P41" s="15">
        <f t="shared" si="34"/>
        <v>-0.99809999999999999</v>
      </c>
      <c r="Q41" s="15" t="e">
        <f t="shared" si="35"/>
        <v>#DIV/0!</v>
      </c>
      <c r="R41" s="13" t="s">
        <v>77</v>
      </c>
    </row>
    <row r="42" spans="1:18" s="12" customFormat="1" x14ac:dyDescent="0.3">
      <c r="A42" s="19" t="s">
        <v>47</v>
      </c>
      <c r="B42" s="18">
        <v>100830366</v>
      </c>
      <c r="C42" s="24">
        <f t="shared" si="24"/>
        <v>0.40602778270253359</v>
      </c>
      <c r="D42" s="17">
        <v>0.77600000000000002</v>
      </c>
      <c r="E42" s="17">
        <v>0.99850000000000005</v>
      </c>
      <c r="F42" s="17">
        <f t="shared" si="28"/>
        <v>0.87330064806987884</v>
      </c>
      <c r="G42" s="15">
        <f t="shared" si="29"/>
        <v>9.9999999999988987E-5</v>
      </c>
      <c r="H42" s="15">
        <f t="shared" si="30"/>
        <v>1.0000000000010001E-4</v>
      </c>
      <c r="I42" s="15">
        <f t="shared" si="31"/>
        <v>1.0157237805674679E-4</v>
      </c>
      <c r="J42" s="18">
        <v>44840996</v>
      </c>
      <c r="K42" s="24">
        <f t="shared" si="26"/>
        <v>0.40728128973319117</v>
      </c>
      <c r="L42" s="17">
        <v>0.79479999999999995</v>
      </c>
      <c r="M42" s="17">
        <v>0.99829999999999997</v>
      </c>
      <c r="N42" s="17">
        <f t="shared" si="32"/>
        <v>0.88500233115832916</v>
      </c>
      <c r="O42" s="15">
        <f t="shared" si="33"/>
        <v>9.9999999999988987E-5</v>
      </c>
      <c r="P42" s="15">
        <f t="shared" si="34"/>
        <v>1.9999999999997797E-4</v>
      </c>
      <c r="Q42" s="15">
        <f t="shared" si="35"/>
        <v>1.4058417037732251E-4</v>
      </c>
      <c r="R42" s="13" t="s">
        <v>9</v>
      </c>
    </row>
    <row r="43" spans="1:18" s="12" customFormat="1" x14ac:dyDescent="0.3">
      <c r="A43" s="19" t="s">
        <v>48</v>
      </c>
      <c r="B43" s="18">
        <v>58407264</v>
      </c>
      <c r="C43" s="24">
        <f t="shared" si="24"/>
        <v>0.23519672531627536</v>
      </c>
      <c r="D43" s="17">
        <v>0.77710000000000001</v>
      </c>
      <c r="E43" s="17">
        <v>0.99870000000000003</v>
      </c>
      <c r="F43" s="17">
        <f t="shared" si="28"/>
        <v>0.87407339790516947</v>
      </c>
      <c r="G43" s="15">
        <f t="shared" si="29"/>
        <v>1.1999999999999789E-3</v>
      </c>
      <c r="H43" s="15">
        <f t="shared" si="30"/>
        <v>3.0000000000007798E-4</v>
      </c>
      <c r="I43" s="15">
        <f t="shared" si="31"/>
        <v>8.7432221334737825E-4</v>
      </c>
      <c r="J43" s="18">
        <v>23642566</v>
      </c>
      <c r="K43" s="24">
        <f t="shared" si="26"/>
        <v>0.21474043023223871</v>
      </c>
      <c r="L43" s="17">
        <v>0.79610000000000003</v>
      </c>
      <c r="M43" s="17">
        <v>0.99850000000000005</v>
      </c>
      <c r="N43" s="17">
        <f>2*((L43*M43)/(L43+M43))</f>
        <v>0.88588638136632125</v>
      </c>
      <c r="O43" s="15">
        <f t="shared" si="33"/>
        <v>1.4000000000000679E-3</v>
      </c>
      <c r="P43" s="15">
        <f t="shared" si="34"/>
        <v>4.0000000000006697E-4</v>
      </c>
      <c r="Q43" s="15">
        <f t="shared" si="35"/>
        <v>1.0246343783694156E-3</v>
      </c>
      <c r="R43" s="13" t="s">
        <v>9</v>
      </c>
    </row>
    <row r="44" spans="1:18" s="12" customFormat="1" x14ac:dyDescent="0.3">
      <c r="A44" s="14" t="s">
        <v>49</v>
      </c>
      <c r="B44" s="16">
        <f>53644809+58235600</f>
        <v>111880409</v>
      </c>
      <c r="C44" s="24">
        <f t="shared" si="24"/>
        <v>0.45052454132837899</v>
      </c>
      <c r="D44" s="17">
        <v>0.78290000000000004</v>
      </c>
      <c r="E44" s="17">
        <v>0.99839999999999995</v>
      </c>
      <c r="F44" s="17">
        <f t="shared" si="28"/>
        <v>0.87761450625947346</v>
      </c>
      <c r="G44" s="15">
        <f t="shared" si="29"/>
        <v>7.0000000000000062E-3</v>
      </c>
      <c r="H44" s="15">
        <f t="shared" si="30"/>
        <v>0</v>
      </c>
      <c r="I44" s="15">
        <f t="shared" si="31"/>
        <v>4.4154305676513683E-3</v>
      </c>
      <c r="J44" s="16">
        <f>22297278+24336788</f>
        <v>46634066</v>
      </c>
      <c r="K44" s="24">
        <f t="shared" si="26"/>
        <v>0.42356736558623181</v>
      </c>
      <c r="L44" s="17">
        <v>0.8024</v>
      </c>
      <c r="M44" s="17">
        <v>0.99819999999999998</v>
      </c>
      <c r="N44" s="17">
        <f t="shared" si="32"/>
        <v>0.88965420415417074</v>
      </c>
      <c r="O44" s="15">
        <f t="shared" si="33"/>
        <v>7.7000000000000401E-3</v>
      </c>
      <c r="P44" s="15">
        <f t="shared" si="34"/>
        <v>9.9999999999988987E-5</v>
      </c>
      <c r="Q44" s="15">
        <f t="shared" si="35"/>
        <v>4.7924571662188997E-3</v>
      </c>
      <c r="R44" s="13" t="s">
        <v>9</v>
      </c>
    </row>
  </sheetData>
  <mergeCells count="39">
    <mergeCell ref="B33:B34"/>
    <mergeCell ref="J33:J34"/>
    <mergeCell ref="K33:K34"/>
    <mergeCell ref="B32:I32"/>
    <mergeCell ref="J32:Q32"/>
    <mergeCell ref="D33:F33"/>
    <mergeCell ref="G33:I33"/>
    <mergeCell ref="L33:N33"/>
    <mergeCell ref="O33:Q33"/>
    <mergeCell ref="C33:C34"/>
    <mergeCell ref="L18:N18"/>
    <mergeCell ref="O18:Q18"/>
    <mergeCell ref="B2:I2"/>
    <mergeCell ref="B3:B4"/>
    <mergeCell ref="C3:C4"/>
    <mergeCell ref="D3:F3"/>
    <mergeCell ref="L3:N3"/>
    <mergeCell ref="B18:B19"/>
    <mergeCell ref="C18:C19"/>
    <mergeCell ref="B17:I17"/>
    <mergeCell ref="J17:Q17"/>
    <mergeCell ref="J18:J19"/>
    <mergeCell ref="K18:K19"/>
    <mergeCell ref="A1:R1"/>
    <mergeCell ref="A17:A19"/>
    <mergeCell ref="A32:A34"/>
    <mergeCell ref="A2:A4"/>
    <mergeCell ref="A31:R31"/>
    <mergeCell ref="R32:R34"/>
    <mergeCell ref="R2:R4"/>
    <mergeCell ref="R17:R19"/>
    <mergeCell ref="A16:R16"/>
    <mergeCell ref="G3:I3"/>
    <mergeCell ref="O3:Q3"/>
    <mergeCell ref="J2:Q2"/>
    <mergeCell ref="J3:J4"/>
    <mergeCell ref="K3:K4"/>
    <mergeCell ref="D18:F18"/>
    <mergeCell ref="G18:I18"/>
  </mergeCells>
  <conditionalFormatting sqref="C5:C14 K5:K14 C20:C29 K20:K29 K35:K44 C35:C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I14 O5:Q14 G20:I29 O20:Q29 G35:I44 O35:Q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zoomScaleNormal="100" workbookViewId="0">
      <selection activeCell="J38" sqref="J38"/>
    </sheetView>
  </sheetViews>
  <sheetFormatPr baseColWidth="10" defaultColWidth="8.77734375" defaultRowHeight="14.4" x14ac:dyDescent="0.3"/>
  <cols>
    <col min="1" max="1" width="13.5546875" bestFit="1" customWidth="1"/>
    <col min="2" max="3" width="12.21875" style="12" bestFit="1" customWidth="1"/>
    <col min="4" max="4" width="9.44140625" style="12" bestFit="1" customWidth="1"/>
    <col min="5" max="5" width="7.44140625" style="12" bestFit="1" customWidth="1"/>
    <col min="6" max="6" width="9.44140625" style="12" bestFit="1" customWidth="1"/>
    <col min="7" max="8" width="12.21875" style="12" bestFit="1" customWidth="1"/>
    <col min="9" max="9" width="8.44140625" style="12" bestFit="1" customWidth="1"/>
    <col min="10" max="10" width="7.44140625" style="12" bestFit="1" customWidth="1"/>
    <col min="11" max="11" width="8.44140625" style="12" bestFit="1" customWidth="1"/>
    <col min="12" max="12" width="15.77734375" style="12" customWidth="1"/>
    <col min="13" max="13" width="16.77734375" style="12" bestFit="1" customWidth="1"/>
    <col min="14" max="15" width="9.44140625" style="12" bestFit="1" customWidth="1"/>
    <col min="16" max="16" width="9.21875" style="12"/>
    <col min="17" max="17" width="14.21875" style="12" bestFit="1" customWidth="1"/>
    <col min="18" max="19" width="16.77734375" style="12" bestFit="1" customWidth="1"/>
    <col min="20" max="21" width="9.44140625" style="12" bestFit="1" customWidth="1"/>
    <col min="22" max="22" width="9.21875" style="12"/>
    <col min="23" max="23" width="14.21875" style="12" bestFit="1" customWidth="1"/>
    <col min="24" max="25" width="16.77734375" style="12" bestFit="1" customWidth="1"/>
    <col min="26" max="27" width="9.44140625" style="12" bestFit="1" customWidth="1"/>
    <col min="28" max="28" width="9.21875" style="12"/>
  </cols>
  <sheetData>
    <row r="1" spans="1:28" ht="18" x14ac:dyDescent="0.35">
      <c r="A1" s="45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Q1"/>
      <c r="R1"/>
      <c r="S1"/>
      <c r="T1"/>
      <c r="U1"/>
      <c r="V1"/>
      <c r="W1"/>
      <c r="X1"/>
      <c r="Y1"/>
      <c r="Z1"/>
      <c r="AA1"/>
      <c r="AB1"/>
    </row>
    <row r="2" spans="1:28" s="26" customFormat="1" x14ac:dyDescent="0.3">
      <c r="A2" s="81"/>
      <c r="B2" s="47" t="s">
        <v>15</v>
      </c>
      <c r="C2" s="47"/>
      <c r="D2" s="47"/>
      <c r="E2" s="47"/>
      <c r="F2" s="47"/>
      <c r="G2" s="47" t="s">
        <v>14</v>
      </c>
      <c r="H2" s="47"/>
      <c r="I2" s="47"/>
      <c r="J2" s="47"/>
      <c r="K2" s="47"/>
      <c r="L2" s="52" t="s">
        <v>52</v>
      </c>
    </row>
    <row r="3" spans="1:28" s="26" customFormat="1" x14ac:dyDescent="0.3">
      <c r="A3" s="82"/>
      <c r="B3" s="47" t="s">
        <v>61</v>
      </c>
      <c r="C3" s="47"/>
      <c r="D3" s="47" t="s">
        <v>56</v>
      </c>
      <c r="E3" s="47"/>
      <c r="F3" s="47"/>
      <c r="G3" s="47" t="s">
        <v>61</v>
      </c>
      <c r="H3" s="47"/>
      <c r="I3" s="47" t="s">
        <v>56</v>
      </c>
      <c r="J3" s="47"/>
      <c r="K3" s="47"/>
      <c r="L3" s="52"/>
    </row>
    <row r="4" spans="1:28" s="26" customFormat="1" x14ac:dyDescent="0.3">
      <c r="A4" s="83"/>
      <c r="B4" s="25" t="s">
        <v>50</v>
      </c>
      <c r="C4" s="25" t="s">
        <v>51</v>
      </c>
      <c r="D4" s="25" t="s">
        <v>53</v>
      </c>
      <c r="E4" s="25" t="s">
        <v>54</v>
      </c>
      <c r="F4" s="25" t="s">
        <v>55</v>
      </c>
      <c r="G4" s="25" t="s">
        <v>50</v>
      </c>
      <c r="H4" s="25" t="s">
        <v>51</v>
      </c>
      <c r="I4" s="25" t="s">
        <v>53</v>
      </c>
      <c r="J4" s="25" t="s">
        <v>54</v>
      </c>
      <c r="K4" s="25" t="s">
        <v>55</v>
      </c>
      <c r="L4" s="52"/>
    </row>
    <row r="5" spans="1:28" x14ac:dyDescent="0.3">
      <c r="A5" s="14" t="s">
        <v>22</v>
      </c>
      <c r="B5" s="27">
        <v>1651760128</v>
      </c>
      <c r="C5" s="27">
        <v>1479500000</v>
      </c>
      <c r="D5" s="16">
        <v>312</v>
      </c>
      <c r="E5" s="16">
        <v>3</v>
      </c>
      <c r="F5" s="16">
        <f>D5+E5</f>
        <v>315</v>
      </c>
      <c r="G5" s="27">
        <v>764281856</v>
      </c>
      <c r="H5" s="27">
        <v>703080000</v>
      </c>
      <c r="I5" s="16">
        <v>254</v>
      </c>
      <c r="J5" s="16">
        <v>2</v>
      </c>
      <c r="K5" s="16">
        <f>I5+J5</f>
        <v>256</v>
      </c>
      <c r="L5" s="78" t="s">
        <v>62</v>
      </c>
    </row>
    <row r="6" spans="1:28" x14ac:dyDescent="0.3">
      <c r="A6" s="14" t="s">
        <v>23</v>
      </c>
      <c r="B6" s="27">
        <v>1650611200</v>
      </c>
      <c r="C6" s="27">
        <v>1473780000</v>
      </c>
      <c r="D6" s="16">
        <v>303</v>
      </c>
      <c r="E6" s="16">
        <v>4</v>
      </c>
      <c r="F6" s="16">
        <f t="shared" ref="F6:F13" si="0">D6+E6</f>
        <v>307</v>
      </c>
      <c r="G6" s="27">
        <v>763266048</v>
      </c>
      <c r="H6" s="27">
        <v>696792000</v>
      </c>
      <c r="I6" s="16">
        <v>239</v>
      </c>
      <c r="J6" s="16">
        <v>2</v>
      </c>
      <c r="K6" s="16">
        <f t="shared" ref="K6:K13" si="1">I6+J6</f>
        <v>241</v>
      </c>
      <c r="L6" s="79"/>
    </row>
    <row r="7" spans="1:28" x14ac:dyDescent="0.3">
      <c r="A7" s="14" t="s">
        <v>24</v>
      </c>
      <c r="B7" s="27">
        <v>1650080768</v>
      </c>
      <c r="C7" s="27">
        <v>1452910000</v>
      </c>
      <c r="D7" s="16">
        <v>287</v>
      </c>
      <c r="E7" s="16">
        <v>3</v>
      </c>
      <c r="F7" s="16">
        <f t="shared" si="0"/>
        <v>290</v>
      </c>
      <c r="G7" s="27">
        <v>762565632</v>
      </c>
      <c r="H7" s="27">
        <v>697397000</v>
      </c>
      <c r="I7" s="16">
        <v>251</v>
      </c>
      <c r="J7" s="16">
        <v>3</v>
      </c>
      <c r="K7" s="16">
        <f t="shared" si="1"/>
        <v>254</v>
      </c>
      <c r="L7" s="79"/>
    </row>
    <row r="8" spans="1:28" x14ac:dyDescent="0.3">
      <c r="A8" s="14" t="s">
        <v>25</v>
      </c>
      <c r="B8" s="27">
        <v>1648780288</v>
      </c>
      <c r="C8" s="27">
        <v>1450810000</v>
      </c>
      <c r="D8" s="16">
        <v>285</v>
      </c>
      <c r="E8" s="16">
        <v>3</v>
      </c>
      <c r="F8" s="16">
        <f t="shared" si="0"/>
        <v>288</v>
      </c>
      <c r="G8" s="27">
        <v>761250816</v>
      </c>
      <c r="H8" s="27">
        <v>665150000</v>
      </c>
      <c r="I8" s="16">
        <v>117</v>
      </c>
      <c r="J8" s="16">
        <v>1</v>
      </c>
      <c r="K8" s="16">
        <f t="shared" si="1"/>
        <v>118</v>
      </c>
      <c r="L8" s="79"/>
    </row>
    <row r="9" spans="1:28" x14ac:dyDescent="0.3">
      <c r="A9" s="14" t="s">
        <v>26</v>
      </c>
      <c r="B9" s="27">
        <v>1647143936</v>
      </c>
      <c r="C9" s="27">
        <v>1433190000</v>
      </c>
      <c r="D9" s="16">
        <v>280</v>
      </c>
      <c r="E9" s="16">
        <v>4</v>
      </c>
      <c r="F9" s="16">
        <f t="shared" si="0"/>
        <v>284</v>
      </c>
      <c r="G9" s="27">
        <v>759800832</v>
      </c>
      <c r="H9" s="27">
        <v>665239000</v>
      </c>
      <c r="I9" s="16">
        <v>170</v>
      </c>
      <c r="J9" s="16">
        <v>2</v>
      </c>
      <c r="K9" s="16">
        <f t="shared" si="1"/>
        <v>172</v>
      </c>
      <c r="L9" s="79"/>
    </row>
    <row r="10" spans="1:28" x14ac:dyDescent="0.3">
      <c r="A10" s="14" t="s">
        <v>76</v>
      </c>
      <c r="B10" s="27"/>
      <c r="C10" s="27"/>
      <c r="D10" s="16"/>
      <c r="E10" s="16"/>
      <c r="F10" s="16">
        <f t="shared" si="0"/>
        <v>0</v>
      </c>
      <c r="G10" s="27"/>
      <c r="H10" s="27"/>
      <c r="I10" s="16"/>
      <c r="J10" s="16"/>
      <c r="K10" s="16">
        <f t="shared" si="1"/>
        <v>0</v>
      </c>
      <c r="L10" s="79"/>
    </row>
    <row r="11" spans="1:28" x14ac:dyDescent="0.3">
      <c r="A11" s="19" t="s">
        <v>58</v>
      </c>
      <c r="B11" s="27">
        <v>55447552</v>
      </c>
      <c r="C11" s="27">
        <v>34839900</v>
      </c>
      <c r="D11" s="16">
        <v>3078</v>
      </c>
      <c r="E11" s="16">
        <v>9</v>
      </c>
      <c r="F11" s="16">
        <f t="shared" si="0"/>
        <v>3087</v>
      </c>
      <c r="G11" s="27">
        <v>3895808</v>
      </c>
      <c r="H11" s="27">
        <v>2869230</v>
      </c>
      <c r="I11" s="16">
        <v>1282</v>
      </c>
      <c r="J11" s="16">
        <v>3</v>
      </c>
      <c r="K11" s="16">
        <f t="shared" si="1"/>
        <v>1285</v>
      </c>
      <c r="L11" s="79"/>
    </row>
    <row r="12" spans="1:28" x14ac:dyDescent="0.3">
      <c r="A12" s="19" t="s">
        <v>59</v>
      </c>
      <c r="B12" s="27">
        <v>55579648</v>
      </c>
      <c r="C12" s="27">
        <v>34104400</v>
      </c>
      <c r="D12" s="16">
        <v>916</v>
      </c>
      <c r="E12" s="16">
        <v>5</v>
      </c>
      <c r="F12" s="16">
        <f t="shared" si="0"/>
        <v>921</v>
      </c>
      <c r="G12" s="27">
        <v>3936768</v>
      </c>
      <c r="H12" s="27">
        <v>2890020</v>
      </c>
      <c r="I12" s="16">
        <v>414</v>
      </c>
      <c r="J12" s="16">
        <v>2</v>
      </c>
      <c r="K12" s="16">
        <f t="shared" si="1"/>
        <v>416</v>
      </c>
      <c r="L12" s="79"/>
    </row>
    <row r="13" spans="1:28" x14ac:dyDescent="0.3">
      <c r="A13" s="14" t="s">
        <v>1</v>
      </c>
      <c r="B13" s="27">
        <v>27173164544</v>
      </c>
      <c r="C13" s="27">
        <v>18364800000</v>
      </c>
      <c r="D13" s="16">
        <v>618</v>
      </c>
      <c r="E13" s="16">
        <v>244</v>
      </c>
      <c r="F13" s="16">
        <f t="shared" si="0"/>
        <v>862</v>
      </c>
      <c r="G13" s="27">
        <v>27172635136</v>
      </c>
      <c r="H13" s="27">
        <v>17985000000</v>
      </c>
      <c r="I13" s="16">
        <v>260</v>
      </c>
      <c r="J13" s="16">
        <v>190</v>
      </c>
      <c r="K13" s="16">
        <f t="shared" si="1"/>
        <v>450</v>
      </c>
      <c r="L13" s="80"/>
    </row>
    <row r="14" spans="1:28" ht="36" customHeight="1" x14ac:dyDescent="0.3">
      <c r="A14" s="12"/>
    </row>
    <row r="15" spans="1:28" ht="18" x14ac:dyDescent="0.35">
      <c r="A15" s="45" t="s">
        <v>60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28" s="26" customFormat="1" x14ac:dyDescent="0.3">
      <c r="A16" s="81"/>
      <c r="B16" s="47" t="s">
        <v>15</v>
      </c>
      <c r="C16" s="47"/>
      <c r="D16" s="47"/>
      <c r="E16" s="47"/>
      <c r="F16" s="47"/>
      <c r="G16" s="47" t="s">
        <v>14</v>
      </c>
      <c r="H16" s="47"/>
      <c r="I16" s="47"/>
      <c r="J16" s="47"/>
      <c r="K16" s="47"/>
      <c r="L16" s="52" t="s">
        <v>52</v>
      </c>
    </row>
    <row r="17" spans="1:28" s="26" customFormat="1" x14ac:dyDescent="0.3">
      <c r="A17" s="82"/>
      <c r="B17" s="47" t="s">
        <v>61</v>
      </c>
      <c r="C17" s="47"/>
      <c r="D17" s="47" t="s">
        <v>56</v>
      </c>
      <c r="E17" s="47"/>
      <c r="F17" s="47"/>
      <c r="G17" s="47" t="s">
        <v>61</v>
      </c>
      <c r="H17" s="47"/>
      <c r="I17" s="47" t="s">
        <v>56</v>
      </c>
      <c r="J17" s="47"/>
      <c r="K17" s="47"/>
      <c r="L17" s="52"/>
    </row>
    <row r="18" spans="1:28" s="26" customFormat="1" x14ac:dyDescent="0.3">
      <c r="A18" s="83"/>
      <c r="B18" s="25" t="s">
        <v>50</v>
      </c>
      <c r="C18" s="25" t="s">
        <v>51</v>
      </c>
      <c r="D18" s="25" t="s">
        <v>53</v>
      </c>
      <c r="E18" s="25" t="s">
        <v>54</v>
      </c>
      <c r="F18" s="25" t="s">
        <v>55</v>
      </c>
      <c r="G18" s="25" t="s">
        <v>50</v>
      </c>
      <c r="H18" s="25" t="s">
        <v>51</v>
      </c>
      <c r="I18" s="25" t="s">
        <v>53</v>
      </c>
      <c r="J18" s="25" t="s">
        <v>54</v>
      </c>
      <c r="K18" s="25" t="s">
        <v>55</v>
      </c>
      <c r="L18" s="52"/>
    </row>
    <row r="19" spans="1:28" x14ac:dyDescent="0.3">
      <c r="A19" s="14" t="s">
        <v>22</v>
      </c>
      <c r="B19" s="27">
        <v>7850046464</v>
      </c>
      <c r="C19" s="27">
        <v>6796940000</v>
      </c>
      <c r="D19" s="16">
        <v>1017</v>
      </c>
      <c r="E19" s="16">
        <v>10</v>
      </c>
      <c r="F19" s="16">
        <f>D19+E19</f>
        <v>1027</v>
      </c>
      <c r="G19" s="27">
        <v>7850046464</v>
      </c>
      <c r="H19" s="27">
        <v>6796940000</v>
      </c>
      <c r="I19" s="16">
        <v>1017</v>
      </c>
      <c r="J19" s="16">
        <v>10</v>
      </c>
      <c r="K19" s="16">
        <f>I19+J19</f>
        <v>1027</v>
      </c>
      <c r="L19" s="78" t="s">
        <v>62</v>
      </c>
    </row>
    <row r="20" spans="1:28" x14ac:dyDescent="0.3">
      <c r="A20" s="14" t="s">
        <v>23</v>
      </c>
      <c r="B20" s="27">
        <v>7849237504</v>
      </c>
      <c r="C20" s="27">
        <v>6695900000</v>
      </c>
      <c r="D20" s="16">
        <v>946</v>
      </c>
      <c r="E20" s="16">
        <v>17</v>
      </c>
      <c r="F20" s="16">
        <f t="shared" ref="F20:F27" si="2">D20+E20</f>
        <v>963</v>
      </c>
      <c r="G20" s="27">
        <v>3553961984</v>
      </c>
      <c r="H20" s="27">
        <v>3065190000</v>
      </c>
      <c r="I20" s="16">
        <v>420</v>
      </c>
      <c r="J20" s="16">
        <v>4</v>
      </c>
      <c r="K20" s="16">
        <f t="shared" ref="K20:K27" si="3">I20+J20</f>
        <v>424</v>
      </c>
      <c r="L20" s="79"/>
    </row>
    <row r="21" spans="1:28" x14ac:dyDescent="0.3">
      <c r="A21" s="14" t="s">
        <v>24</v>
      </c>
      <c r="B21" s="27">
        <v>7848577024</v>
      </c>
      <c r="C21" s="27">
        <v>6500560000</v>
      </c>
      <c r="D21" s="16">
        <v>766</v>
      </c>
      <c r="E21" s="16">
        <v>14</v>
      </c>
      <c r="F21" s="16">
        <f t="shared" si="2"/>
        <v>780</v>
      </c>
      <c r="G21" s="27">
        <v>3553310720</v>
      </c>
      <c r="H21" s="27">
        <v>2994190000</v>
      </c>
      <c r="I21" s="16">
        <v>367</v>
      </c>
      <c r="J21" s="16">
        <v>4</v>
      </c>
      <c r="K21" s="16">
        <f t="shared" si="3"/>
        <v>371</v>
      </c>
      <c r="L21" s="79"/>
    </row>
    <row r="22" spans="1:28" x14ac:dyDescent="0.3">
      <c r="A22" s="14" t="s">
        <v>25</v>
      </c>
      <c r="B22" s="27">
        <v>7848051712</v>
      </c>
      <c r="C22" s="27">
        <v>6521960000</v>
      </c>
      <c r="D22" s="16">
        <v>812</v>
      </c>
      <c r="E22" s="16">
        <v>16</v>
      </c>
      <c r="F22" s="16">
        <f t="shared" si="2"/>
        <v>828</v>
      </c>
      <c r="G22" s="27">
        <v>3552964608</v>
      </c>
      <c r="H22" s="27">
        <v>2981440000</v>
      </c>
      <c r="I22" s="16">
        <v>382</v>
      </c>
      <c r="J22" s="16">
        <v>8</v>
      </c>
      <c r="K22" s="16">
        <f t="shared" si="3"/>
        <v>390</v>
      </c>
      <c r="L22" s="79"/>
    </row>
    <row r="23" spans="1:28" x14ac:dyDescent="0.3">
      <c r="A23" s="14" t="s">
        <v>26</v>
      </c>
      <c r="B23" s="27">
        <v>7847896064</v>
      </c>
      <c r="C23" s="27">
        <v>6487610000</v>
      </c>
      <c r="D23" s="16">
        <v>736</v>
      </c>
      <c r="E23" s="16">
        <v>17</v>
      </c>
      <c r="F23" s="16">
        <f t="shared" si="2"/>
        <v>753</v>
      </c>
      <c r="G23" s="27">
        <v>3552673792</v>
      </c>
      <c r="H23" s="27">
        <v>2983410000</v>
      </c>
      <c r="I23" s="16">
        <v>362</v>
      </c>
      <c r="J23" s="16">
        <v>4</v>
      </c>
      <c r="K23" s="16">
        <f t="shared" si="3"/>
        <v>366</v>
      </c>
      <c r="L23" s="79"/>
    </row>
    <row r="24" spans="1:28" x14ac:dyDescent="0.3">
      <c r="A24" s="14" t="s">
        <v>76</v>
      </c>
      <c r="B24" s="27"/>
      <c r="C24" s="27"/>
      <c r="D24" s="16"/>
      <c r="E24" s="16"/>
      <c r="F24" s="16">
        <f t="shared" si="2"/>
        <v>0</v>
      </c>
      <c r="G24" s="27"/>
      <c r="H24" s="27"/>
      <c r="I24" s="16"/>
      <c r="J24" s="16"/>
      <c r="K24" s="16">
        <f t="shared" si="3"/>
        <v>0</v>
      </c>
      <c r="L24" s="79"/>
    </row>
    <row r="25" spans="1:28" x14ac:dyDescent="0.3">
      <c r="A25" s="19" t="s">
        <v>58</v>
      </c>
      <c r="B25" s="27">
        <v>205335040</v>
      </c>
      <c r="C25" s="27">
        <v>120415000</v>
      </c>
      <c r="D25" s="16">
        <v>1998</v>
      </c>
      <c r="E25" s="16">
        <v>14</v>
      </c>
      <c r="F25" s="16">
        <f t="shared" si="2"/>
        <v>2012</v>
      </c>
      <c r="G25" s="27">
        <v>16103424</v>
      </c>
      <c r="H25" s="27">
        <v>9045440</v>
      </c>
      <c r="I25" s="16">
        <v>911</v>
      </c>
      <c r="J25" s="16">
        <v>8</v>
      </c>
      <c r="K25" s="16">
        <f t="shared" si="3"/>
        <v>919</v>
      </c>
      <c r="L25" s="79"/>
    </row>
    <row r="26" spans="1:28" x14ac:dyDescent="0.3">
      <c r="A26" s="19" t="s">
        <v>59</v>
      </c>
      <c r="B26" s="27">
        <v>204402176</v>
      </c>
      <c r="C26" s="27">
        <v>128299000</v>
      </c>
      <c r="D26" s="16">
        <v>1897</v>
      </c>
      <c r="E26" s="16">
        <v>14</v>
      </c>
      <c r="F26" s="16">
        <f t="shared" si="2"/>
        <v>1911</v>
      </c>
      <c r="G26" s="27">
        <v>16527360</v>
      </c>
      <c r="H26" s="27">
        <v>10117400</v>
      </c>
      <c r="I26" s="16">
        <v>825</v>
      </c>
      <c r="J26" s="16">
        <v>6</v>
      </c>
      <c r="K26" s="16">
        <f t="shared" si="3"/>
        <v>831</v>
      </c>
      <c r="L26" s="79"/>
    </row>
    <row r="27" spans="1:28" x14ac:dyDescent="0.3">
      <c r="A27" s="14" t="s">
        <v>1</v>
      </c>
      <c r="B27" s="27">
        <v>27173349376</v>
      </c>
      <c r="C27" s="27">
        <v>23428700000</v>
      </c>
      <c r="D27" s="16">
        <v>2943</v>
      </c>
      <c r="E27" s="16">
        <v>387</v>
      </c>
      <c r="F27" s="16">
        <f t="shared" si="2"/>
        <v>3330</v>
      </c>
      <c r="G27" s="27">
        <v>27172823552</v>
      </c>
      <c r="H27" s="27">
        <v>20976800000</v>
      </c>
      <c r="I27" s="16">
        <v>1346</v>
      </c>
      <c r="J27" s="16">
        <v>285</v>
      </c>
      <c r="K27" s="16">
        <f t="shared" si="3"/>
        <v>1631</v>
      </c>
      <c r="L27" s="80"/>
    </row>
    <row r="28" spans="1:28" s="12" customFormat="1" ht="36" customHeight="1" x14ac:dyDescent="0.3"/>
    <row r="29" spans="1:28" ht="18" x14ac:dyDescent="0.35">
      <c r="A29" s="45" t="s">
        <v>69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Q29"/>
      <c r="R29"/>
      <c r="S29"/>
      <c r="T29"/>
      <c r="U29"/>
      <c r="V29"/>
      <c r="W29"/>
      <c r="X29"/>
      <c r="Y29"/>
      <c r="Z29"/>
      <c r="AA29"/>
      <c r="AB29"/>
    </row>
    <row r="30" spans="1:28" s="26" customFormat="1" x14ac:dyDescent="0.3">
      <c r="A30" s="81"/>
      <c r="B30" s="47" t="s">
        <v>15</v>
      </c>
      <c r="C30" s="47"/>
      <c r="D30" s="47"/>
      <c r="E30" s="47"/>
      <c r="F30" s="47"/>
      <c r="G30" s="47" t="s">
        <v>14</v>
      </c>
      <c r="H30" s="47"/>
      <c r="I30" s="47"/>
      <c r="J30" s="47"/>
      <c r="K30" s="47"/>
      <c r="L30" s="52" t="s">
        <v>52</v>
      </c>
    </row>
    <row r="31" spans="1:28" s="26" customFormat="1" x14ac:dyDescent="0.3">
      <c r="A31" s="82"/>
      <c r="B31" s="47" t="s">
        <v>61</v>
      </c>
      <c r="C31" s="47"/>
      <c r="D31" s="47" t="s">
        <v>56</v>
      </c>
      <c r="E31" s="47"/>
      <c r="F31" s="47"/>
      <c r="G31" s="47" t="s">
        <v>61</v>
      </c>
      <c r="H31" s="47"/>
      <c r="I31" s="47" t="s">
        <v>56</v>
      </c>
      <c r="J31" s="47"/>
      <c r="K31" s="47"/>
      <c r="L31" s="52"/>
    </row>
    <row r="32" spans="1:28" s="26" customFormat="1" x14ac:dyDescent="0.3">
      <c r="A32" s="83"/>
      <c r="B32" s="25" t="s">
        <v>50</v>
      </c>
      <c r="C32" s="25" t="s">
        <v>51</v>
      </c>
      <c r="D32" s="25" t="s">
        <v>53</v>
      </c>
      <c r="E32" s="25" t="s">
        <v>54</v>
      </c>
      <c r="F32" s="25" t="s">
        <v>55</v>
      </c>
      <c r="G32" s="25" t="s">
        <v>50</v>
      </c>
      <c r="H32" s="25" t="s">
        <v>51</v>
      </c>
      <c r="I32" s="25" t="s">
        <v>53</v>
      </c>
      <c r="J32" s="25" t="s">
        <v>54</v>
      </c>
      <c r="K32" s="25" t="s">
        <v>55</v>
      </c>
      <c r="L32" s="52"/>
    </row>
    <row r="33" spans="1:28" x14ac:dyDescent="0.3">
      <c r="A33" s="14" t="s">
        <v>22</v>
      </c>
      <c r="B33" s="27">
        <v>2506427392</v>
      </c>
      <c r="C33" s="27">
        <v>2152960000</v>
      </c>
      <c r="D33" s="16">
        <v>272</v>
      </c>
      <c r="E33" s="16">
        <v>6</v>
      </c>
      <c r="F33" s="16">
        <f>D33+E33</f>
        <v>278</v>
      </c>
      <c r="G33" s="27">
        <v>1126761472</v>
      </c>
      <c r="H33" s="27">
        <v>983508000</v>
      </c>
      <c r="I33" s="16">
        <v>126</v>
      </c>
      <c r="J33" s="16">
        <v>1</v>
      </c>
      <c r="K33" s="16">
        <f>I33+J33</f>
        <v>127</v>
      </c>
      <c r="L33" s="78" t="s">
        <v>63</v>
      </c>
      <c r="Q33"/>
      <c r="R33"/>
      <c r="S33"/>
      <c r="T33"/>
      <c r="U33"/>
      <c r="V33"/>
      <c r="W33"/>
      <c r="X33"/>
      <c r="Y33"/>
      <c r="Z33"/>
      <c r="AA33"/>
      <c r="AB33"/>
    </row>
    <row r="34" spans="1:28" x14ac:dyDescent="0.3">
      <c r="A34" s="14" t="s">
        <v>23</v>
      </c>
      <c r="B34" s="27">
        <v>2506113024</v>
      </c>
      <c r="C34" s="27">
        <v>2120280000</v>
      </c>
      <c r="D34" s="16">
        <v>237</v>
      </c>
      <c r="E34" s="16">
        <v>3</v>
      </c>
      <c r="F34" s="16">
        <f t="shared" ref="F34:F41" si="4">D34+E34</f>
        <v>240</v>
      </c>
      <c r="G34" s="27">
        <v>1126496256</v>
      </c>
      <c r="H34" s="27">
        <v>964249000</v>
      </c>
      <c r="I34" s="16">
        <v>110</v>
      </c>
      <c r="J34" s="16">
        <v>1</v>
      </c>
      <c r="K34" s="16">
        <f t="shared" ref="K34:K41" si="5">I34+J34</f>
        <v>111</v>
      </c>
      <c r="L34" s="79"/>
      <c r="Q34"/>
      <c r="R34"/>
      <c r="S34"/>
      <c r="T34"/>
      <c r="U34"/>
      <c r="V34"/>
      <c r="W34"/>
      <c r="X34"/>
      <c r="Y34"/>
      <c r="Z34"/>
      <c r="AA34"/>
      <c r="AB34"/>
    </row>
    <row r="35" spans="1:28" x14ac:dyDescent="0.3">
      <c r="A35" s="14" t="s">
        <v>24</v>
      </c>
      <c r="B35" s="27">
        <v>2505803776</v>
      </c>
      <c r="C35" s="27">
        <v>2068770000</v>
      </c>
      <c r="D35" s="16">
        <v>223</v>
      </c>
      <c r="E35" s="16">
        <v>6</v>
      </c>
      <c r="F35" s="16">
        <f t="shared" si="4"/>
        <v>229</v>
      </c>
      <c r="G35" s="27">
        <v>1126331392</v>
      </c>
      <c r="H35" s="27">
        <v>936325000</v>
      </c>
      <c r="I35" s="16">
        <v>96</v>
      </c>
      <c r="J35" s="16">
        <v>1</v>
      </c>
      <c r="K35" s="16">
        <f t="shared" si="5"/>
        <v>97</v>
      </c>
      <c r="L35" s="79"/>
      <c r="Q35"/>
      <c r="R35"/>
      <c r="S35"/>
      <c r="T35"/>
      <c r="U35"/>
      <c r="V35"/>
      <c r="W35"/>
      <c r="X35"/>
      <c r="Y35"/>
      <c r="Z35"/>
      <c r="AA35"/>
      <c r="AB35"/>
    </row>
    <row r="36" spans="1:28" x14ac:dyDescent="0.3">
      <c r="A36" s="14" t="s">
        <v>25</v>
      </c>
      <c r="B36" s="27">
        <v>2499660800</v>
      </c>
      <c r="C36" s="27">
        <v>2036290000</v>
      </c>
      <c r="D36" s="16">
        <v>186</v>
      </c>
      <c r="E36" s="16">
        <v>2</v>
      </c>
      <c r="F36" s="16">
        <f t="shared" si="4"/>
        <v>188</v>
      </c>
      <c r="G36" s="27">
        <v>1115644928</v>
      </c>
      <c r="H36" s="27">
        <v>917053000</v>
      </c>
      <c r="I36" s="16">
        <v>89</v>
      </c>
      <c r="J36" s="16">
        <v>1</v>
      </c>
      <c r="K36" s="16">
        <f t="shared" si="5"/>
        <v>90</v>
      </c>
      <c r="L36" s="79"/>
      <c r="Q36"/>
      <c r="R36"/>
      <c r="S36"/>
      <c r="T36"/>
      <c r="U36"/>
      <c r="V36"/>
      <c r="W36"/>
      <c r="X36"/>
      <c r="Y36"/>
      <c r="Z36"/>
      <c r="AA36"/>
      <c r="AB36"/>
    </row>
    <row r="37" spans="1:28" x14ac:dyDescent="0.3">
      <c r="A37" s="14" t="s">
        <v>26</v>
      </c>
      <c r="B37" s="27">
        <v>2494090240</v>
      </c>
      <c r="C37" s="27">
        <v>2010400000</v>
      </c>
      <c r="D37" s="16">
        <v>183</v>
      </c>
      <c r="E37" s="16">
        <v>2</v>
      </c>
      <c r="F37" s="16">
        <f t="shared" si="4"/>
        <v>185</v>
      </c>
      <c r="G37" s="27">
        <v>1111468032</v>
      </c>
      <c r="H37" s="27">
        <v>903537000</v>
      </c>
      <c r="I37" s="16">
        <v>83</v>
      </c>
      <c r="J37" s="16">
        <v>1</v>
      </c>
      <c r="K37" s="16">
        <f t="shared" si="5"/>
        <v>84</v>
      </c>
      <c r="L37" s="79"/>
      <c r="Q37"/>
      <c r="R37"/>
      <c r="S37"/>
      <c r="T37"/>
      <c r="U37"/>
      <c r="V37"/>
      <c r="W37"/>
      <c r="X37"/>
      <c r="Y37"/>
      <c r="Z37"/>
      <c r="AA37"/>
      <c r="AB37"/>
    </row>
    <row r="38" spans="1:28" x14ac:dyDescent="0.3">
      <c r="A38" s="14" t="s">
        <v>76</v>
      </c>
      <c r="B38" s="27"/>
      <c r="C38" s="27"/>
      <c r="D38" s="16"/>
      <c r="E38" s="16"/>
      <c r="F38" s="16">
        <f t="shared" si="4"/>
        <v>0</v>
      </c>
      <c r="G38" s="27"/>
      <c r="H38" s="27"/>
      <c r="I38" s="16"/>
      <c r="J38" s="16"/>
      <c r="K38" s="16">
        <f t="shared" si="5"/>
        <v>0</v>
      </c>
      <c r="L38" s="79"/>
      <c r="Q38"/>
      <c r="R38"/>
      <c r="S38"/>
      <c r="T38"/>
      <c r="U38"/>
      <c r="V38"/>
      <c r="W38"/>
      <c r="X38"/>
      <c r="Y38"/>
      <c r="Z38"/>
      <c r="AA38"/>
      <c r="AB38"/>
    </row>
    <row r="39" spans="1:28" x14ac:dyDescent="0.3">
      <c r="A39" s="19" t="s">
        <v>58</v>
      </c>
      <c r="B39" s="27">
        <v>39181312</v>
      </c>
      <c r="C39" s="27">
        <v>24685900</v>
      </c>
      <c r="D39" s="16">
        <v>976</v>
      </c>
      <c r="E39" s="16">
        <v>8</v>
      </c>
      <c r="F39" s="16">
        <f t="shared" si="4"/>
        <v>984</v>
      </c>
      <c r="G39" s="27">
        <v>6869504</v>
      </c>
      <c r="H39" s="27">
        <v>4244930</v>
      </c>
      <c r="I39" s="16">
        <v>359</v>
      </c>
      <c r="J39" s="16">
        <v>3</v>
      </c>
      <c r="K39" s="16">
        <f t="shared" si="5"/>
        <v>362</v>
      </c>
      <c r="L39" s="79"/>
      <c r="Q39"/>
      <c r="R39"/>
      <c r="S39"/>
      <c r="T39"/>
      <c r="U39"/>
      <c r="V39"/>
      <c r="W39"/>
      <c r="X39"/>
      <c r="Y39"/>
      <c r="Z39"/>
      <c r="AA39"/>
      <c r="AB39"/>
    </row>
    <row r="40" spans="1:28" x14ac:dyDescent="0.3">
      <c r="A40" s="19" t="s">
        <v>59</v>
      </c>
      <c r="B40" s="27">
        <v>39304192</v>
      </c>
      <c r="C40" s="27">
        <v>25080400</v>
      </c>
      <c r="D40" s="16">
        <v>697</v>
      </c>
      <c r="E40" s="16">
        <v>4</v>
      </c>
      <c r="F40" s="16">
        <f t="shared" si="4"/>
        <v>701</v>
      </c>
      <c r="G40" s="27">
        <v>6815232</v>
      </c>
      <c r="H40" s="27">
        <v>4239030</v>
      </c>
      <c r="I40" s="16">
        <v>289</v>
      </c>
      <c r="J40" s="16">
        <v>3</v>
      </c>
      <c r="K40" s="16">
        <f t="shared" si="5"/>
        <v>292</v>
      </c>
      <c r="L40" s="79"/>
      <c r="Q40"/>
      <c r="R40"/>
      <c r="S40"/>
      <c r="T40"/>
      <c r="U40"/>
      <c r="V40"/>
      <c r="W40"/>
      <c r="X40"/>
      <c r="Y40"/>
      <c r="Z40"/>
      <c r="AA40"/>
      <c r="AB40"/>
    </row>
    <row r="41" spans="1:28" x14ac:dyDescent="0.3">
      <c r="A41" s="14" t="s">
        <v>1</v>
      </c>
      <c r="B41" s="27">
        <v>27173310464</v>
      </c>
      <c r="C41" s="27">
        <v>22661532606</v>
      </c>
      <c r="D41" s="16">
        <v>1118</v>
      </c>
      <c r="E41" s="16">
        <v>261</v>
      </c>
      <c r="F41" s="16">
        <f t="shared" si="4"/>
        <v>1379</v>
      </c>
      <c r="G41" s="27">
        <v>27172784640</v>
      </c>
      <c r="H41" s="27">
        <v>20555700000</v>
      </c>
      <c r="I41" s="16">
        <v>456</v>
      </c>
      <c r="J41" s="16">
        <v>238</v>
      </c>
      <c r="K41" s="16">
        <f t="shared" si="5"/>
        <v>694</v>
      </c>
      <c r="L41" s="80"/>
      <c r="Q41"/>
      <c r="R41"/>
      <c r="S41"/>
      <c r="T41"/>
      <c r="U41"/>
      <c r="V41"/>
      <c r="W41"/>
      <c r="X41"/>
      <c r="Y41"/>
      <c r="Z41"/>
      <c r="AA41"/>
      <c r="AB41"/>
    </row>
  </sheetData>
  <mergeCells count="30">
    <mergeCell ref="G3:H3"/>
    <mergeCell ref="I3:K3"/>
    <mergeCell ref="G2:K2"/>
    <mergeCell ref="B2:F2"/>
    <mergeCell ref="B3:C3"/>
    <mergeCell ref="D3:F3"/>
    <mergeCell ref="L2:L4"/>
    <mergeCell ref="L16:L18"/>
    <mergeCell ref="A15:L15"/>
    <mergeCell ref="A1:L1"/>
    <mergeCell ref="A30:A32"/>
    <mergeCell ref="A2:A4"/>
    <mergeCell ref="A16:A18"/>
    <mergeCell ref="B16:F16"/>
    <mergeCell ref="G16:K16"/>
    <mergeCell ref="B17:C17"/>
    <mergeCell ref="D17:F17"/>
    <mergeCell ref="G17:H17"/>
    <mergeCell ref="I17:K17"/>
    <mergeCell ref="B30:F30"/>
    <mergeCell ref="G30:K30"/>
    <mergeCell ref="B31:C31"/>
    <mergeCell ref="L33:L41"/>
    <mergeCell ref="L5:L13"/>
    <mergeCell ref="L19:L27"/>
    <mergeCell ref="L30:L32"/>
    <mergeCell ref="A29:L29"/>
    <mergeCell ref="D31:F31"/>
    <mergeCell ref="G31:H31"/>
    <mergeCell ref="I31:K31"/>
  </mergeCells>
  <conditionalFormatting sqref="C1:C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Tools</vt:lpstr>
      <vt:lpstr>Data</vt:lpstr>
      <vt:lpstr>MPEG CE2 variant calling</vt:lpstr>
      <vt:lpstr>GATK hard filters</vt:lpstr>
      <vt:lpstr>Platypus</vt:lpstr>
      <vt:lpstr>Performance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2017-04-09T06:52:38Z</dcterms:modified>
</cp:coreProperties>
</file>